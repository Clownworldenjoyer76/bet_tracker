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>
    <definedName hidden="1" localSheetId="0" name="_xlnm._FilterDatabase">transactions!$K$1:$K$933</definedName>
  </definedNames>
  <calcPr/>
</workbook>
</file>

<file path=xl/sharedStrings.xml><?xml version="1.0" encoding="utf-8"?>
<sst xmlns="http://schemas.openxmlformats.org/spreadsheetml/2006/main" count="41" uniqueCount="28">
  <si>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</si>
  <si>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</si>
  <si>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</si>
  <si>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</si>
  <si>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</si>
  <si>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</si>
  <si>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</si>
  <si>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</si>
  <si>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</si>
  <si>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</si>
  <si>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</si>
  <si>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MIA Heat Moneyline MIA Heat @ PHO Suns</t>
  </si>
  <si>
    <t>Win</t>
  </si>
  <si>
    <t>nba</t>
  </si>
  <si>
    <t>Over 211.5 Total Alternate BKN Nets @ LA Clippers</t>
  </si>
  <si>
    <t>nba_ou</t>
  </si>
  <si>
    <t>Over 130.5 Total Chicago State @ Mercyhurst</t>
  </si>
  <si>
    <t>Loss</t>
  </si>
  <si>
    <t>ncaab_ou</t>
  </si>
  <si>
    <t>Over 142.5 Total Alternate - NCAAB Oregon @ Washington</t>
  </si>
  <si>
    <t>Under 2.5 Total Goals Freiburg vs Cologne</t>
  </si>
  <si>
    <t>soc_ou</t>
  </si>
  <si>
    <t>Lille Moneyline Lille vs Strasbourg</t>
  </si>
  <si>
    <t>soc</t>
  </si>
  <si>
    <t>Over 2.5 Total Goals Juventus vs Napoli</t>
  </si>
  <si>
    <t>Real Sociedad Moneyline Real Sociedad vs Celta Vigo</t>
  </si>
  <si>
    <t>AS Roma Moneyline AS Roma vs AC Milan</t>
  </si>
  <si>
    <t>Stade Brest Moneyline Stade Brest vs Toulouse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</si>
</sst>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Calibri"/>
    </font>
    <font>
      <sz val="7.0"/>
      <color theme="1"/>
      <name val="Calibri"/>
    </font>
    <font>
      <b/>
      <color theme="1"/>
      <name val="Calibri"/>
    </font>
    <font>
      <color theme="1"/>
      <name val="Arial"/>
    </font>
    <font>
      <sz val="10.0"/>
      <color theme="1"/>
      <name val="Calibri"/>
    </font>
    <font>
      <sz val="9.0"/>
      <color rgb="FF1F2328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6" numFmtId="0" xfId="0" applyAlignment="1" applyFill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5" max="5" width="20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46047.0</v>
      </c>
      <c r="B2" s="6" t="s">
        <v>11</v>
      </c>
      <c r="C2" s="7">
        <v>0.469</v>
      </c>
      <c r="D2" s="7">
        <v>149.0</v>
      </c>
      <c r="E2" s="8">
        <f>+150</f>
        <v>150</v>
      </c>
      <c r="G2" s="8">
        <v>0.1</v>
      </c>
      <c r="H2" s="8" t="s">
        <v>12</v>
      </c>
      <c r="I2" s="9">
        <v>0.25</v>
      </c>
      <c r="J2" s="8">
        <v>0.15</v>
      </c>
      <c r="K2" s="8" t="s">
        <v>13</v>
      </c>
    </row>
    <row r="3">
      <c r="A3" s="5">
        <v>46047.0</v>
      </c>
      <c r="B3" s="6" t="s">
        <v>14</v>
      </c>
      <c r="C3" s="7">
        <v>0.6074</v>
      </c>
      <c r="D3" s="7">
        <v>-116.0</v>
      </c>
      <c r="E3" s="8">
        <v>-105.0</v>
      </c>
      <c r="G3" s="8">
        <v>0.1</v>
      </c>
      <c r="H3" s="8" t="s">
        <v>12</v>
      </c>
      <c r="I3" s="9">
        <v>0.19</v>
      </c>
      <c r="J3" s="8">
        <v>0.09</v>
      </c>
      <c r="K3" s="8" t="s">
        <v>15</v>
      </c>
    </row>
    <row r="4">
      <c r="A4" s="5">
        <v>46047.0</v>
      </c>
      <c r="B4" s="6" t="s">
        <v>16</v>
      </c>
      <c r="C4" s="7">
        <v>0.6156</v>
      </c>
      <c r="D4" s="8">
        <v>-120.0</v>
      </c>
      <c r="E4" s="8">
        <v>-115.0</v>
      </c>
      <c r="G4" s="8">
        <v>0.1</v>
      </c>
      <c r="H4" s="8" t="s">
        <v>17</v>
      </c>
      <c r="I4" s="9">
        <v>0.0</v>
      </c>
      <c r="J4" s="8">
        <v>-0.1</v>
      </c>
      <c r="K4" s="8" t="s">
        <v>18</v>
      </c>
    </row>
    <row r="5">
      <c r="A5" s="5">
        <v>46047.0</v>
      </c>
      <c r="B5" s="6" t="s">
        <v>19</v>
      </c>
      <c r="C5" s="7">
        <v>0.7604</v>
      </c>
      <c r="D5" s="7">
        <v>-223.0</v>
      </c>
      <c r="E5" s="8">
        <v>-130.0</v>
      </c>
      <c r="G5" s="8">
        <v>0.1</v>
      </c>
      <c r="H5" s="8" t="s">
        <v>17</v>
      </c>
      <c r="I5" s="9">
        <v>0.0</v>
      </c>
      <c r="J5" s="8">
        <v>-0.1</v>
      </c>
      <c r="K5" s="8" t="s">
        <v>18</v>
      </c>
    </row>
    <row r="6">
      <c r="A6" s="5">
        <v>46047.0</v>
      </c>
      <c r="B6" s="6" t="s">
        <v>20</v>
      </c>
      <c r="C6" s="7">
        <v>0.5903</v>
      </c>
      <c r="D6" s="7">
        <v>-125.0</v>
      </c>
      <c r="E6" s="8">
        <f>+115</f>
        <v>115</v>
      </c>
      <c r="G6" s="8">
        <v>0.1</v>
      </c>
      <c r="H6" s="8" t="s">
        <v>17</v>
      </c>
      <c r="I6" s="9">
        <v>0.0</v>
      </c>
      <c r="J6" s="8">
        <v>-0.1</v>
      </c>
      <c r="K6" s="8" t="s">
        <v>21</v>
      </c>
    </row>
    <row r="7">
      <c r="A7" s="5">
        <v>46047.0</v>
      </c>
      <c r="B7" s="6" t="s">
        <v>22</v>
      </c>
      <c r="C7" s="7">
        <v>0.525</v>
      </c>
      <c r="D7" s="7">
        <v>100.0</v>
      </c>
      <c r="E7" s="8">
        <f t="shared" ref="E7:E8" si="1">+145</f>
        <v>145</v>
      </c>
      <c r="G7" s="8">
        <v>0.1</v>
      </c>
      <c r="H7" s="8" t="s">
        <v>17</v>
      </c>
      <c r="I7" s="9">
        <v>0.0</v>
      </c>
      <c r="J7" s="8">
        <v>-0.1</v>
      </c>
      <c r="K7" s="8" t="s">
        <v>23</v>
      </c>
    </row>
    <row r="8">
      <c r="A8" s="5">
        <v>46047.0</v>
      </c>
      <c r="B8" s="6" t="s">
        <v>24</v>
      </c>
      <c r="C8" s="7">
        <v>0.4763</v>
      </c>
      <c r="D8" s="7">
        <v>127.0</v>
      </c>
      <c r="E8" s="8">
        <f t="shared" si="1"/>
        <v>145</v>
      </c>
      <c r="G8" s="8">
        <v>0.1</v>
      </c>
      <c r="H8" s="8" t="s">
        <v>12</v>
      </c>
      <c r="I8" s="9">
        <v>0.24000000000000002</v>
      </c>
      <c r="J8" s="8">
        <v>0.14</v>
      </c>
      <c r="K8" s="8" t="s">
        <v>21</v>
      </c>
    </row>
    <row r="9">
      <c r="A9" s="5">
        <v>46047.0</v>
      </c>
      <c r="B9" s="6" t="s">
        <v>25</v>
      </c>
      <c r="C9" s="7">
        <v>0.496</v>
      </c>
      <c r="D9" s="7">
        <v>112.0</v>
      </c>
      <c r="E9" s="8">
        <f>+110</f>
        <v>110</v>
      </c>
      <c r="G9" s="8">
        <v>0.1</v>
      </c>
      <c r="H9" s="8" t="s">
        <v>12</v>
      </c>
      <c r="I9" s="9">
        <v>0.21000000000000002</v>
      </c>
      <c r="J9" s="8">
        <v>0.11</v>
      </c>
      <c r="K9" s="8" t="s">
        <v>23</v>
      </c>
    </row>
    <row r="10">
      <c r="A10" s="5">
        <v>46047.0</v>
      </c>
      <c r="B10" s="6" t="s">
        <v>26</v>
      </c>
      <c r="C10" s="7">
        <v>0.419</v>
      </c>
      <c r="D10" s="7">
        <v>156.0</v>
      </c>
      <c r="E10" s="8">
        <f>+170</f>
        <v>170</v>
      </c>
      <c r="G10" s="8">
        <v>0.1</v>
      </c>
      <c r="H10" s="8" t="s">
        <v>17</v>
      </c>
      <c r="I10" s="9">
        <v>0.0</v>
      </c>
      <c r="J10" s="8">
        <v>-0.1</v>
      </c>
      <c r="K10" s="8" t="s">
        <v>23</v>
      </c>
    </row>
    <row r="11">
      <c r="A11" s="5">
        <v>46047.0</v>
      </c>
      <c r="B11" s="6" t="s">
        <v>27</v>
      </c>
      <c r="C11" s="7">
        <v>0.375</v>
      </c>
      <c r="D11" s="7">
        <v>205.0</v>
      </c>
      <c r="E11" s="8">
        <f>+210</f>
        <v>210</v>
      </c>
      <c r="G11" s="8">
        <v>0.1</v>
      </c>
      <c r="H11" s="8" t="s">
        <v>17</v>
      </c>
      <c r="I11" s="9">
        <v>0.0</v>
      </c>
      <c r="J11" s="8">
        <v>-0.1</v>
      </c>
      <c r="K11" s="8" t="s">
        <v>23</v>
      </c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</sheetData>
  <autoFilter ref="$K$1:$K$933"/>
  <drawing r:id="rId1"/>
</worksheet>
</file>