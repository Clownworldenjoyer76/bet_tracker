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<sst xmlns="http://schemas.openxmlformats.org/spreadsheetml/2006/main" count="66" uniqueCount="66">
  <si>
    <t>Time</t>
  </si>
  <si>
    <t>Teams</t>
  </si>
  <si>
    <t>Win</t>
  </si>
  <si>
    <t>Draw</t>
  </si>
  <si>
    <t>Best
ML</t>
  </si>
  <si>
    <t>Goals</t>
  </si>
  <si>
    <t>Total
Goals</t>
  </si>
  <si>
    <t>Best
O/U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</si>
  <si>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12:45 P</t>
    </r>
    <r>
      <rPr>
        <rFont val="&quot;IBM Plex Mono&quot;, monospace"/>
      </rPr>
      <t>M</t>
    </r>
  </si>
  <si>
    <t>Eintracht Frankfurt
Qarabag</t>
  </si>
  <si>
    <t>72.5%
12.0%</t>
  </si>
  <si>
    <t>2.69
1.03</t>
  </si>
  <si>
    <t>o3-115
u3+110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</si>
  <si>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12:45 P</t>
    </r>
    <r>
      <rPr>
        <rFont val="&quot;IBM Plex Mono&quot;, monospace"/>
      </rPr>
      <t>M</t>
    </r>
  </si>
  <si>
    <t>Atletico Madrid
Galatasaray</t>
  </si>
  <si>
    <t>46.9%
26.3%</t>
  </si>
  <si>
    <t>1.42
1.00</t>
  </si>
  <si>
    <t>o3-105
u3-105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</si>
  <si>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</si>
  <si>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Liverpool
Marseille</t>
  </si>
  <si>
    <t>73.5%
10.2%</t>
  </si>
  <si>
    <t>-105
+275</t>
  </si>
  <si>
    <t>2.42
0.78</t>
  </si>
  <si>
    <t>o3+105
u3-115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</si>
  <si>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</si>
  <si>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Benfica
Juventus</t>
  </si>
  <si>
    <t>17.1%
60.8%</t>
  </si>
  <si>
    <t>0.88
1.87</t>
  </si>
  <si>
    <t>o2½+100
u2½-110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</si>
  <si>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</si>
  <si>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Barcelona
Slavia Prague</t>
  </si>
  <si>
    <t>77.6%
7.7%</t>
  </si>
  <si>
    <t>-300
+665</t>
  </si>
  <si>
    <t>2.52
0.67</t>
  </si>
  <si>
    <t>o3½-110
u3½-105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</si>
  <si>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</si>
  <si>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Athletic Club
Atalanta</t>
  </si>
  <si>
    <t>26.4%
48.0%</t>
  </si>
  <si>
    <t>1.07
1.53</t>
  </si>
  <si>
    <t>o2½+100
u2½-120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</si>
  <si>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</si>
  <si>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Union SG
Bayern Munich</t>
  </si>
  <si>
    <t>4.7%
86.1%</t>
  </si>
  <si>
    <t>0.72
3.32</t>
  </si>
  <si>
    <t>o4+115
u4-115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</si>
  <si>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</si>
  <si>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PSV Eindhoven
Newcastle United</t>
  </si>
  <si>
    <t>17.3%
62.1%</t>
  </si>
  <si>
    <t>0.99
2.07</t>
  </si>
  <si>
    <t>o3½+100
u3½-105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</si>
  <si>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02:45 P</t>
    </r>
    <r>
      <rPr>
        <rFont val="&quot;IBM Plex Mono&quot;, monospace"/>
      </rPr>
      <t>M</t>
    </r>
  </si>
  <si>
    <t>Portsmouth
Watford</t>
  </si>
  <si>
    <t>20.9%
54.6%</t>
  </si>
  <si>
    <t>0.91
1.65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</si>
  <si>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02:45 P</t>
    </r>
    <r>
      <rPr>
        <rFont val="&quot;IBM Plex Mono&quot;, monospace"/>
      </rPr>
      <t>M</t>
    </r>
  </si>
  <si>
    <t>Sheffield United
Southampton</t>
  </si>
  <si>
    <t>36.1%
35.3%</t>
  </si>
  <si>
    <t>1.14
1.12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</si>
  <si>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</si>
  <si>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Middlesbrough
Stoke City</t>
  </si>
  <si>
    <t>33.4%
38.2%</t>
  </si>
  <si>
    <t>1.10
1.20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</si>
  <si>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12:45 P</t>
    </r>
    <r>
      <rPr>
        <rFont val="&quot;IBM Plex Mono&quot;, monospace"/>
      </rPr>
      <t>M</t>
    </r>
  </si>
  <si>
    <t>Excelsior
AZ Alkmaar</t>
  </si>
  <si>
    <t>9.4%
74.5%</t>
  </si>
  <si>
    <t>0.73
2.41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</si>
</sst>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sz val="12.0"/>
      <color rgb="FF5A5A5A"/>
      <name val="&quot;IBM Plex Sans&quot;"/>
    </font>
    <font>
      <sz val="12.0"/>
      <color rgb="FF74B06D"/>
      <name val="&quot;IBM Plex Mono&quot;"/>
    </font>
    <font>
      <sz val="12.0"/>
      <color rgb="FF999999"/>
      <name val="&quot;IBM Plex Mono&quot;"/>
    </font>
    <font>
      <sz val="12.0"/>
      <color rgb="FF5A5A5A"/>
      <name val="&quot;IBM Plex Mono&quot;"/>
    </font>
    <font>
      <sz val="12.0"/>
      <color rgb="FFDB3131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2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0" fillId="2" fontId="5" numFmtId="10" xfId="0" applyAlignment="1" applyFont="1" applyNumberFormat="1">
      <alignment horizontal="center" readingOrder="0"/>
    </xf>
    <xf borderId="0" fillId="2" fontId="6" numFmtId="0" xfId="0" applyAlignment="1" applyFont="1">
      <alignment horizontal="center"/>
    </xf>
    <xf borderId="2" fillId="2" fontId="6" numFmtId="0" xfId="0" applyAlignment="1" applyBorder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3" fontId="3" numFmtId="0" xfId="0" applyAlignment="1" applyFill="1" applyFont="1">
      <alignment horizontal="left" readingOrder="0"/>
    </xf>
    <xf borderId="2" fillId="3" fontId="4" numFmtId="0" xfId="0" applyAlignment="1" applyBorder="1" applyFont="1">
      <alignment horizontal="center" readingOrder="0"/>
    </xf>
    <xf borderId="0" fillId="3" fontId="5" numFmtId="10" xfId="0" applyAlignment="1" applyFont="1" applyNumberFormat="1">
      <alignment horizontal="center" readingOrder="0"/>
    </xf>
    <xf borderId="0" fillId="3" fontId="6" numFmtId="0" xfId="0" applyAlignment="1" applyFont="1">
      <alignment horizontal="center"/>
    </xf>
    <xf borderId="2" fillId="3" fontId="6" numFmtId="0" xfId="0" applyAlignment="1" applyBorder="1" applyFont="1">
      <alignment horizontal="center" readingOrder="0"/>
    </xf>
    <xf borderId="0" fillId="3" fontId="6" numFmtId="0" xfId="0" applyAlignment="1" applyFont="1">
      <alignment horizontal="center" readingOrder="0"/>
    </xf>
    <xf borderId="2" fillId="3" fontId="7" numFmtId="0" xfId="0" applyAlignment="1" applyBorder="1" applyFont="1">
      <alignment horizontal="center" readingOrder="0"/>
    </xf>
    <xf borderId="2" fillId="2" fontId="7" numFmtId="0" xfId="0" applyAlignment="1" applyBorder="1" applyFont="1">
      <alignment horizontal="center" readingOrder="0"/>
    </xf>
    <xf borderId="0" fillId="2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ratings.com/predictor/england-championship-predictions/d5de86a9-b5f9-5155-8de3-30c873506f5e" TargetMode="External"/><Relationship Id="rId10" Type="http://schemas.openxmlformats.org/officeDocument/2006/relationships/hyperlink" Target="https://www.dratings.com/predictor/england-championship-predictions/989148e9-260c-5412-818b-669755959f50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dratings.com/predictor/netherlands-eredivisie-predictions/e6d7db27-64ec-5f12-a687-0dbe00053816" TargetMode="External"/><Relationship Id="rId1" Type="http://schemas.openxmlformats.org/officeDocument/2006/relationships/hyperlink" Target="https://www.dratings.com/predictor/champions-league-predictions/d4a5fdb4-5710-58c6-a193-102d20aa6f5e" TargetMode="External"/><Relationship Id="rId2" Type="http://schemas.openxmlformats.org/officeDocument/2006/relationships/hyperlink" Target="https://www.dratings.com/predictor/champions-league-predictions/21bf4881-70ca-59e1-9504-ed835cadfdde" TargetMode="External"/><Relationship Id="rId3" Type="http://schemas.openxmlformats.org/officeDocument/2006/relationships/hyperlink" Target="https://www.dratings.com/predictor/champions-league-predictions/60c8666b-3544-5141-b0fe-3c337d060f17" TargetMode="External"/><Relationship Id="rId4" Type="http://schemas.openxmlformats.org/officeDocument/2006/relationships/hyperlink" Target="https://www.dratings.com/predictor/champions-league-predictions/87bcb243-4f1c-5581-8571-df684f3330a5" TargetMode="External"/><Relationship Id="rId9" Type="http://schemas.openxmlformats.org/officeDocument/2006/relationships/hyperlink" Target="https://www.dratings.com/predictor/england-championship-predictions/1c8dc53e-6851-54f2-b982-60ce6f62f8c9" TargetMode="External"/><Relationship Id="rId5" Type="http://schemas.openxmlformats.org/officeDocument/2006/relationships/hyperlink" Target="https://www.dratings.com/predictor/champions-league-predictions/f8445203-ade9-5d7f-9d15-4daf38d44f67" TargetMode="External"/><Relationship Id="rId6" Type="http://schemas.openxmlformats.org/officeDocument/2006/relationships/hyperlink" Target="https://www.dratings.com/predictor/champions-league-predictions/29492cbf-d609-5e67-8034-cdf74bedad53" TargetMode="External"/><Relationship Id="rId7" Type="http://schemas.openxmlformats.org/officeDocument/2006/relationships/hyperlink" Target="https://www.dratings.com/predictor/champions-league-predictions/d6748b49-ecfd-570c-9016-b2d0b1480b52" TargetMode="External"/><Relationship Id="rId8" Type="http://schemas.openxmlformats.org/officeDocument/2006/relationships/hyperlink" Target="https://www.dratings.com/predictor/champions-league-predictions/4d66f8a4-3107-5fdc-bd8e-458f0b7a0a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4" t="s">
        <v>10</v>
      </c>
      <c r="D2" s="5">
        <v>0.155</v>
      </c>
      <c r="E2" s="6">
        <f>+120
+225</f>
        <v>345</v>
      </c>
      <c r="F2" s="7" t="s">
        <v>11</v>
      </c>
      <c r="G2" s="8">
        <v>3.72</v>
      </c>
      <c r="H2" s="8" t="s">
        <v>12</v>
      </c>
    </row>
    <row r="3">
      <c r="A3" s="2" t="s">
        <v>13</v>
      </c>
      <c r="B3" s="9" t="s">
        <v>14</v>
      </c>
      <c r="C3" s="10" t="s">
        <v>15</v>
      </c>
      <c r="D3" s="11">
        <v>0.267</v>
      </c>
      <c r="E3" s="12">
        <f>+115
+225</f>
        <v>340</v>
      </c>
      <c r="F3" s="13" t="s">
        <v>16</v>
      </c>
      <c r="G3" s="14">
        <v>2.42</v>
      </c>
      <c r="H3" s="14" t="s">
        <v>17</v>
      </c>
    </row>
    <row r="4">
      <c r="A4" s="2" t="s">
        <v>18</v>
      </c>
      <c r="B4" s="3" t="s">
        <v>19</v>
      </c>
      <c r="C4" s="4" t="s">
        <v>20</v>
      </c>
      <c r="D4" s="5">
        <v>0.163</v>
      </c>
      <c r="E4" s="8" t="s">
        <v>21</v>
      </c>
      <c r="F4" s="7" t="s">
        <v>22</v>
      </c>
      <c r="G4" s="8">
        <v>3.2</v>
      </c>
      <c r="H4" s="8" t="s">
        <v>23</v>
      </c>
    </row>
    <row r="5">
      <c r="A5" s="2" t="s">
        <v>24</v>
      </c>
      <c r="B5" s="9" t="s">
        <v>25</v>
      </c>
      <c r="C5" s="15" t="s">
        <v>26</v>
      </c>
      <c r="D5" s="11">
        <v>0.221</v>
      </c>
      <c r="E5" s="12">
        <f>+403
-125</f>
        <v>278</v>
      </c>
      <c r="F5" s="13" t="s">
        <v>27</v>
      </c>
      <c r="G5" s="14">
        <v>2.75</v>
      </c>
      <c r="H5" s="14" t="s">
        <v>28</v>
      </c>
    </row>
    <row r="6">
      <c r="A6" s="2" t="s">
        <v>29</v>
      </c>
      <c r="B6" s="3" t="s">
        <v>30</v>
      </c>
      <c r="C6" s="4" t="s">
        <v>31</v>
      </c>
      <c r="D6" s="5">
        <v>0.146</v>
      </c>
      <c r="E6" s="8" t="s">
        <v>32</v>
      </c>
      <c r="F6" s="7" t="s">
        <v>33</v>
      </c>
      <c r="G6" s="8">
        <v>3.19</v>
      </c>
      <c r="H6" s="8" t="s">
        <v>34</v>
      </c>
    </row>
    <row r="7">
      <c r="A7" s="2" t="s">
        <v>35</v>
      </c>
      <c r="B7" s="9" t="s">
        <v>36</v>
      </c>
      <c r="C7" s="15" t="s">
        <v>37</v>
      </c>
      <c r="D7" s="11">
        <v>0.255</v>
      </c>
      <c r="E7" s="12">
        <f>+397
-130</f>
        <v>267</v>
      </c>
      <c r="F7" s="13" t="s">
        <v>38</v>
      </c>
      <c r="G7" s="14">
        <v>2.6</v>
      </c>
      <c r="H7" s="14" t="s">
        <v>39</v>
      </c>
    </row>
    <row r="8">
      <c r="A8" s="2" t="s">
        <v>40</v>
      </c>
      <c r="B8" s="3" t="s">
        <v>41</v>
      </c>
      <c r="C8" s="16" t="s">
        <v>42</v>
      </c>
      <c r="D8" s="5">
        <v>0.092</v>
      </c>
      <c r="E8" s="6">
        <f>+1900
-900</f>
        <v>1000</v>
      </c>
      <c r="F8" s="7" t="s">
        <v>43</v>
      </c>
      <c r="G8" s="8">
        <v>4.04</v>
      </c>
      <c r="H8" s="8" t="s">
        <v>44</v>
      </c>
    </row>
    <row r="9">
      <c r="A9" s="2" t="s">
        <v>45</v>
      </c>
      <c r="B9" s="9" t="s">
        <v>46</v>
      </c>
      <c r="C9" s="15" t="s">
        <v>47</v>
      </c>
      <c r="D9" s="11">
        <v>0.205</v>
      </c>
      <c r="E9" s="12">
        <f>+700
-240</f>
        <v>460</v>
      </c>
      <c r="F9" s="13" t="s">
        <v>48</v>
      </c>
      <c r="G9" s="14">
        <v>3.06</v>
      </c>
      <c r="H9" s="14" t="s">
        <v>49</v>
      </c>
    </row>
    <row r="10">
      <c r="A10" s="2" t="s">
        <v>50</v>
      </c>
      <c r="B10" s="3" t="s">
        <v>51</v>
      </c>
      <c r="C10" s="16" t="s">
        <v>52</v>
      </c>
      <c r="D10" s="5">
        <v>0.245</v>
      </c>
      <c r="E10" s="6">
        <f>+390
-140</f>
        <v>250</v>
      </c>
      <c r="F10" s="7" t="s">
        <v>53</v>
      </c>
      <c r="G10" s="8">
        <v>2.56</v>
      </c>
      <c r="H10" s="8">
        <v>2.0</v>
      </c>
    </row>
    <row r="11">
      <c r="A11" s="2" t="s">
        <v>54</v>
      </c>
      <c r="B11" s="9" t="s">
        <v>55</v>
      </c>
      <c r="C11" s="10" t="s">
        <v>56</v>
      </c>
      <c r="D11" s="11">
        <v>0.287</v>
      </c>
      <c r="E11" s="12">
        <f>+175
+135</f>
        <v>310</v>
      </c>
      <c r="F11" s="13" t="s">
        <v>57</v>
      </c>
      <c r="G11" s="14">
        <v>2.26</v>
      </c>
      <c r="H11" s="14">
        <v>2.0</v>
      </c>
    </row>
    <row r="12">
      <c r="A12" s="2" t="s">
        <v>58</v>
      </c>
      <c r="B12" s="3" t="s">
        <v>59</v>
      </c>
      <c r="C12" s="16" t="s">
        <v>60</v>
      </c>
      <c r="D12" s="5">
        <v>0.283</v>
      </c>
      <c r="E12" s="6">
        <f>+140
+205</f>
        <v>345</v>
      </c>
      <c r="F12" s="7" t="s">
        <v>61</v>
      </c>
      <c r="G12" s="8">
        <v>2.3</v>
      </c>
      <c r="H12" s="8">
        <v>2.0</v>
      </c>
    </row>
    <row r="13">
      <c r="A13" s="2" t="s">
        <v>62</v>
      </c>
      <c r="B13" s="3" t="s">
        <v>63</v>
      </c>
      <c r="C13" s="16" t="s">
        <v>64</v>
      </c>
      <c r="D13" s="5">
        <v>0.16</v>
      </c>
      <c r="E13" s="6"/>
      <c r="F13" s="7" t="s">
        <v>65</v>
      </c>
      <c r="G13" s="8">
        <v>3.14</v>
      </c>
      <c r="H13" s="8">
        <v>2.0</v>
      </c>
    </row>
    <row r="14">
      <c r="A14" s="17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</hyperlinks>
  <drawing r:id="rId13"/>
</worksheet>
</file>