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<sst xmlns="http://schemas.openxmlformats.org/spreadsheetml/2006/main" count="82" uniqueCount="77">
  <si>
    <t>Time</t>
  </si>
  <si>
    <t>Teams</t>
  </si>
  <si>
    <t>Win</t>
  </si>
  <si>
    <t>Best
ML</t>
  </si>
  <si>
    <t>Best
Spread</t>
  </si>
  <si>
    <t>Points</t>
  </si>
  <si>
    <t>Total
Points</t>
  </si>
  <si>
    <t>Best
O/U</t>
  </si>
  <si>
    <t>Bet
Value</t>
  </si>
  <si>
    <t>More Details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</si>
  <si>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01:10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</si>
  <si>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San Antonio Spurs</t>
    </r>
    <r>
      <rPr>
        <rFont val="&quot;IBM Plex Sans&quot;, sans-serif"/>
        <sz val="12.0"/>
      </rPr>
      <t xml:space="preserve"> (43-16)
</t>
    </r>
    <r>
      <rPr>
        <rFont val="&quot;IBM Plex Sans&quot;, sans-serif"/>
        <color rgb="FF1155CC"/>
        <sz val="12.0"/>
        <u/>
      </rPr>
      <t>New York Knicks</t>
    </r>
    <r>
      <rPr>
        <rFont val="&quot;IBM Plex Sans&quot;, sans-serif"/>
        <sz val="12.0"/>
      </rPr>
      <t xml:space="preserve"> (38-22)</t>
    </r>
  </si>
  <si>
    <t>54.0%
46.0%</t>
  </si>
  <si>
    <t>-115
+110</t>
  </si>
  <si>
    <t>-1-110
+1½-110</t>
  </si>
  <si>
    <t>115.0
113.4</t>
  </si>
  <si>
    <t>o227½-110
u228-110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</si>
  <si>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03:40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</si>
  <si>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Cleveland Cavaliers</t>
    </r>
    <r>
      <rPr>
        <rFont val="&quot;IBM Plex Sans&quot;, sans-serif"/>
        <sz val="12.0"/>
      </rPr>
      <t xml:space="preserve"> (37-24)
</t>
    </r>
    <r>
      <rPr>
        <rFont val="&quot;IBM Plex Sans&quot;, sans-serif"/>
        <color rgb="FF1155CC"/>
        <sz val="12.0"/>
        <u/>
      </rPr>
      <t>Brooklyn Nets</t>
    </r>
    <r>
      <rPr>
        <rFont val="&quot;IBM Plex Sans&quot;, sans-serif"/>
        <sz val="12.0"/>
      </rPr>
      <t xml:space="preserve"> (15-44)</t>
    </r>
  </si>
  <si>
    <t>81.7%
18.3%</t>
  </si>
  <si>
    <t>-550
+475</t>
  </si>
  <si>
    <t>-11-110
+12-109</t>
  </si>
  <si>
    <t>117.1
107.5</t>
  </si>
  <si>
    <t>o222½-110
u222½-110</t>
  </si>
  <si>
    <t>Volatility Bet Value Active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</si>
  <si>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03:40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</si>
  <si>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Milwaukee Bucks</t>
    </r>
    <r>
      <rPr>
        <rFont val="&quot;IBM Plex Sans&quot;, sans-serif"/>
        <sz val="12.0"/>
      </rPr>
      <t xml:space="preserve"> (26-32)
</t>
    </r>
    <r>
      <rPr>
        <rFont val="&quot;IBM Plex Sans&quot;, sans-serif"/>
        <color rgb="FF1155CC"/>
        <sz val="12.0"/>
        <u/>
      </rPr>
      <t>Chicago Bulls</t>
    </r>
    <r>
      <rPr>
        <rFont val="&quot;IBM Plex Sans&quot;, sans-serif"/>
        <sz val="12.0"/>
      </rPr>
      <t xml:space="preserve"> (24-36)</t>
    </r>
  </si>
  <si>
    <t>59.7%
40.3%</t>
  </si>
  <si>
    <t>-155
+140</t>
  </si>
  <si>
    <t>-3-109
+3½-110</t>
  </si>
  <si>
    <t>115.5
112.1</t>
  </si>
  <si>
    <t>o228½-110
u229½-110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</si>
  <si>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03:40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</si>
  <si>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Minnesota Timberwolves</t>
    </r>
    <r>
      <rPr>
        <rFont val="&quot;IBM Plex Sans&quot;, sans-serif"/>
        <sz val="12.0"/>
      </rPr>
      <t xml:space="preserve"> (37-23)
</t>
    </r>
    <r>
      <rPr>
        <rFont val="&quot;IBM Plex Sans&quot;, sans-serif"/>
        <color rgb="FF1155CC"/>
        <sz val="12.0"/>
        <u/>
      </rPr>
      <t>Denver Nuggets</t>
    </r>
    <r>
      <rPr>
        <rFont val="&quot;IBM Plex Sans&quot;, sans-serif"/>
        <sz val="12.0"/>
      </rPr>
      <t xml:space="preserve"> (37-23)</t>
    </r>
  </si>
  <si>
    <t>41.5%
58.5%</t>
  </si>
  <si>
    <t>115.9
118.9</t>
  </si>
  <si>
    <t>o237½-110
u240½-110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</si>
  <si>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05:10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</si>
  <si>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Memphis Grizzlies</t>
    </r>
    <r>
      <rPr>
        <rFont val="&quot;IBM Plex Sans&quot;, sans-serif"/>
        <sz val="12.0"/>
      </rPr>
      <t xml:space="preserve"> (22-36)
</t>
    </r>
    <r>
      <rPr>
        <rFont val="&quot;IBM Plex Sans&quot;, sans-serif"/>
        <color rgb="FF1155CC"/>
        <sz val="12.0"/>
        <u/>
      </rPr>
      <t>Indiana Pacers</t>
    </r>
    <r>
      <rPr>
        <rFont val="&quot;IBM Plex Sans&quot;, sans-serif"/>
        <sz val="12.0"/>
      </rPr>
      <t xml:space="preserve"> (15-45)</t>
    </r>
  </si>
  <si>
    <t>52.0%
48.0%</t>
  </si>
  <si>
    <t>-105
-105</t>
  </si>
  <si>
    <t>119.3
118.4</t>
  </si>
  <si>
    <t>o238-110
u238-110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</si>
  <si>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06:10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</si>
  <si>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Philadelphia 76ers</t>
    </r>
    <r>
      <rPr>
        <rFont val="&quot;IBM Plex Sans&quot;, sans-serif"/>
        <sz val="12.0"/>
      </rPr>
      <t xml:space="preserve"> (33-26)
</t>
    </r>
    <r>
      <rPr>
        <rFont val="&quot;IBM Plex Sans&quot;, sans-serif"/>
        <color rgb="FF1155CC"/>
        <sz val="12.0"/>
        <u/>
      </rPr>
      <t>Boston Celtics</t>
    </r>
    <r>
      <rPr>
        <rFont val="&quot;IBM Plex Sans&quot;, sans-serif"/>
        <sz val="12.0"/>
      </rPr>
      <t xml:space="preserve"> (39-20)</t>
    </r>
  </si>
  <si>
    <t>32.7%
67.3%</t>
  </si>
  <si>
    <t>109.1
114.6</t>
  </si>
  <si>
    <t>o221-110
u221½-110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</si>
  <si>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06:10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</si>
  <si>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Detroit Pistons</t>
    </r>
    <r>
      <rPr>
        <rFont val="&quot;IBM Plex Sans&quot;, sans-serif"/>
        <sz val="12.0"/>
      </rPr>
      <t xml:space="preserve"> (44-14)
</t>
    </r>
    <r>
      <rPr>
        <rFont val="&quot;IBM Plex Sans&quot;, sans-serif"/>
        <color rgb="FF1155CC"/>
        <sz val="12.0"/>
        <u/>
      </rPr>
      <t>Orlando Magic</t>
    </r>
    <r>
      <rPr>
        <rFont val="&quot;IBM Plex Sans&quot;, sans-serif"/>
        <sz val="12.0"/>
      </rPr>
      <t xml:space="preserve"> (31-27)</t>
    </r>
  </si>
  <si>
    <t>64.1%
35.9%</t>
  </si>
  <si>
    <t>-200
+175</t>
  </si>
  <si>
    <t>-5-109
+5-109</t>
  </si>
  <si>
    <t>114.1
109.6</t>
  </si>
  <si>
    <t>o221-110
u225-110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</si>
  <si>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06:10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</si>
  <si>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Portland Trail Blazers</t>
    </r>
    <r>
      <rPr>
        <rFont val="&quot;IBM Plex Sans&quot;, sans-serif"/>
        <sz val="12.0"/>
      </rPr>
      <t xml:space="preserve"> (29-32)
</t>
    </r>
    <r>
      <rPr>
        <rFont val="&quot;IBM Plex Sans&quot;, sans-serif"/>
        <color rgb="FF1155CC"/>
        <sz val="12.0"/>
        <u/>
      </rPr>
      <t>Atlanta Hawks</t>
    </r>
    <r>
      <rPr>
        <rFont val="&quot;IBM Plex Sans&quot;, sans-serif"/>
        <sz val="12.0"/>
      </rPr>
      <t xml:space="preserve"> (30-31)</t>
    </r>
  </si>
  <si>
    <t>34.2%
65.8%</t>
  </si>
  <si>
    <t>115.8
120.9</t>
  </si>
  <si>
    <t>o236-110
u238-110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</si>
  <si>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08:10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</si>
  <si>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Oklahoma City Thunder</t>
    </r>
    <r>
      <rPr>
        <rFont val="&quot;IBM Plex Sans&quot;, sans-serif"/>
        <sz val="12.0"/>
      </rPr>
      <t xml:space="preserve"> (46-15)
</t>
    </r>
    <r>
      <rPr>
        <rFont val="&quot;IBM Plex Sans&quot;, sans-serif"/>
        <color rgb="FF1155CC"/>
        <sz val="12.0"/>
        <u/>
      </rPr>
      <t>Dallas Mavericks</t>
    </r>
    <r>
      <rPr>
        <rFont val="&quot;IBM Plex Sans&quot;, sans-serif"/>
        <sz val="12.0"/>
      </rPr>
      <t xml:space="preserve"> (21-38)</t>
    </r>
  </si>
  <si>
    <t>86.0%
14.0%</t>
  </si>
  <si>
    <t>-1150
+750</t>
  </si>
  <si>
    <t>-15½-110
+16-109</t>
  </si>
  <si>
    <t>121.6
110.5</t>
  </si>
  <si>
    <t>o231½-110
u234½-110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</si>
  <si>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09:10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</si>
  <si>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New Orleans Pelicans</t>
    </r>
    <r>
      <rPr>
        <rFont val="&quot;IBM Plex Sans&quot;, sans-serif"/>
        <sz val="12.0"/>
      </rPr>
      <t xml:space="preserve"> (19-42)
</t>
    </r>
    <r>
      <rPr>
        <rFont val="&quot;IBM Plex Sans&quot;, sans-serif"/>
        <color rgb="FF1155CC"/>
        <sz val="12.0"/>
        <u/>
      </rPr>
      <t>Los Angeles Clippers</t>
    </r>
    <r>
      <rPr>
        <rFont val="&quot;IBM Plex Sans&quot;, sans-serif"/>
        <sz val="12.0"/>
      </rPr>
      <t xml:space="preserve"> (27-31)</t>
    </r>
  </si>
  <si>
    <t>33.8%
66.2%</t>
  </si>
  <si>
    <t>110.0
115.1</t>
  </si>
  <si>
    <t>o221½-110
u222½-110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</si>
  <si>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09:40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</si>
  <si>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Sacramento Kings</t>
    </r>
    <r>
      <rPr>
        <rFont val="&quot;IBM Plex Sans&quot;, sans-serif"/>
        <sz val="12.0"/>
      </rPr>
      <t xml:space="preserve"> (14-47)
</t>
    </r>
    <r>
      <rPr>
        <rFont val="&quot;IBM Plex Sans&quot;, sans-serif"/>
        <color rgb="FF1155CC"/>
        <sz val="12.0"/>
        <u/>
      </rPr>
      <t>Los Angeles Lakers</t>
    </r>
    <r>
      <rPr>
        <rFont val="&quot;IBM Plex Sans&quot;, sans-serif"/>
        <sz val="12.0"/>
      </rPr>
      <t xml:space="preserve"> (35-24)</t>
    </r>
  </si>
  <si>
    <t>13.8%
86.2%</t>
  </si>
  <si>
    <t>109.5
120.5</t>
  </si>
  <si>
    <t>o233-110
u233-110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</si>
</sst>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rgb="FF282727"/>
      <name val="&quot;IBM Plex Sans&quot;"/>
    </font>
    <font>
      <color theme="1"/>
      <name val="Inherit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74B06D"/>
      <name val="&quot;IBM Plex Mono&quot;"/>
    </font>
    <font>
      <sz val="12.0"/>
      <color rgb="FF5A5A5A"/>
      <name val="&quot;IBM Plex Mono&quot;"/>
    </font>
    <font>
      <u/>
      <sz val="12.0"/>
      <color rgb="FF0000FF"/>
      <name val="&quot;IBM Plex Mono&quot;"/>
    </font>
    <font>
      <sz val="12.0"/>
      <color rgb="FFDB3131"/>
      <name val="&quot;IBM Plex Mono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4">
    <border/>
    <border>
      <bottom style="thin">
        <color rgb="FFDDDDDD"/>
      </bottom>
    </border>
    <border>
      <bottom style="dotted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Alignment="1" applyBorder="1" applyFont="1">
      <alignment horizontal="left" readingOrder="0" vertical="bottom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3" fillId="2" fontId="5" numFmtId="0" xfId="0" applyAlignment="1" applyBorder="1" applyFont="1">
      <alignment horizontal="center" readingOrder="0"/>
    </xf>
    <xf borderId="0" fillId="2" fontId="6" numFmtId="0" xfId="0" applyAlignment="1" applyFont="1">
      <alignment horizontal="center" readingOrder="0"/>
    </xf>
    <xf borderId="3" fillId="2" fontId="6" numFmtId="0" xfId="0" applyAlignment="1" applyBorder="1" applyFont="1">
      <alignment horizontal="center" readingOrder="0"/>
    </xf>
    <xf borderId="3" fillId="2" fontId="6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3" fillId="3" fontId="5" numFmtId="0" xfId="0" applyAlignment="1" applyBorder="1" applyFill="1" applyFont="1">
      <alignment horizontal="center" readingOrder="0"/>
    </xf>
    <xf borderId="0" fillId="3" fontId="6" numFmtId="0" xfId="0" applyAlignment="1" applyFont="1">
      <alignment horizontal="center" readingOrder="0"/>
    </xf>
    <xf borderId="3" fillId="3" fontId="6" numFmtId="0" xfId="0" applyAlignment="1" applyBorder="1" applyFont="1">
      <alignment horizontal="center" readingOrder="0"/>
    </xf>
    <xf borderId="3" fillId="3" fontId="8" numFmtId="0" xfId="0" applyAlignment="1" applyBorder="1" applyFont="1">
      <alignment horizontal="center" readingOrder="0"/>
    </xf>
    <xf borderId="0" fillId="3" fontId="6" numFmtId="0" xfId="0" applyAlignment="1" applyFont="1">
      <alignment horizontal="center"/>
    </xf>
    <xf borderId="0" fillId="2" fontId="6" numFmtId="0" xfId="0" applyAlignment="1" applyFont="1">
      <alignment horizontal="center"/>
    </xf>
    <xf borderId="3" fillId="3" fontId="6" numFmtId="0" xfId="0" applyAlignment="1" applyBorder="1" applyFont="1">
      <alignment horizontal="center"/>
    </xf>
    <xf borderId="3" fillId="2" fontId="8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dratings.com/teams/nba-basketball-ratings/308-detroit-pistons" TargetMode="External"/><Relationship Id="rId22" Type="http://schemas.openxmlformats.org/officeDocument/2006/relationships/hyperlink" Target="https://www.dratings.com/predictor/nba-basketball-predictions/583342fc-d7af-5f0a-b8d7-491c4fd013d9" TargetMode="External"/><Relationship Id="rId21" Type="http://schemas.openxmlformats.org/officeDocument/2006/relationships/hyperlink" Target="https://www.dratings.com/predictor/nba-basketball-predictions/be5f183b-70ce-5990-ac70-84ce6db04654" TargetMode="External"/><Relationship Id="rId24" Type="http://schemas.openxmlformats.org/officeDocument/2006/relationships/hyperlink" Target="https://www.dratings.com/predictor/nba-basketball-predictions/583342fc-d7af-5f0a-b8d7-491c4fd013d9" TargetMode="External"/><Relationship Id="rId23" Type="http://schemas.openxmlformats.org/officeDocument/2006/relationships/hyperlink" Target="https://www.dratings.com/teams/nba-basketball-ratings/329-portland-trail-blazers" TargetMode="External"/><Relationship Id="rId1" Type="http://schemas.openxmlformats.org/officeDocument/2006/relationships/hyperlink" Target="https://www.dratings.com/predictor/nba-basketball-predictions/ee11d110-31f8-5fd6-a205-3a8af37bfa9f" TargetMode="External"/><Relationship Id="rId2" Type="http://schemas.openxmlformats.org/officeDocument/2006/relationships/hyperlink" Target="https://www.dratings.com/teams/nba-basketball-ratings/325-san-antonio-spurs" TargetMode="External"/><Relationship Id="rId3" Type="http://schemas.openxmlformats.org/officeDocument/2006/relationships/hyperlink" Target="https://www.dratings.com/predictor/nba-basketball-predictions/ee11d110-31f8-5fd6-a205-3a8af37bfa9f" TargetMode="External"/><Relationship Id="rId4" Type="http://schemas.openxmlformats.org/officeDocument/2006/relationships/hyperlink" Target="https://www.dratings.com/predictor/nba-basketball-predictions/41a2c563-ab85-5fb4-9ded-550c6be1a1bd" TargetMode="External"/><Relationship Id="rId9" Type="http://schemas.openxmlformats.org/officeDocument/2006/relationships/hyperlink" Target="https://www.dratings.com/predictor/nba-basketball-predictions/aee0290d-e321-56c9-b85b-6cb557f55fff" TargetMode="External"/><Relationship Id="rId26" Type="http://schemas.openxmlformats.org/officeDocument/2006/relationships/hyperlink" Target="https://www.dratings.com/teams/nba-basketball-ratings/328-oklahoma-city-thunder" TargetMode="External"/><Relationship Id="rId25" Type="http://schemas.openxmlformats.org/officeDocument/2006/relationships/hyperlink" Target="https://www.dratings.com/predictor/nba-basketball-predictions/54dc6b2b-3a4a-5e9a-ad64-d22091bc5d79" TargetMode="External"/><Relationship Id="rId28" Type="http://schemas.openxmlformats.org/officeDocument/2006/relationships/hyperlink" Target="https://www.dratings.com/predictor/nba-basketball-predictions/e164d585-ad86-5cd8-ad19-5956a2aaec71" TargetMode="External"/><Relationship Id="rId27" Type="http://schemas.openxmlformats.org/officeDocument/2006/relationships/hyperlink" Target="https://www.dratings.com/predictor/nba-basketball-predictions/54dc6b2b-3a4a-5e9a-ad64-d22091bc5d79" TargetMode="External"/><Relationship Id="rId5" Type="http://schemas.openxmlformats.org/officeDocument/2006/relationships/hyperlink" Target="https://www.dratings.com/teams/nba-basketball-ratings/307-cleveland-cavaliers" TargetMode="External"/><Relationship Id="rId6" Type="http://schemas.openxmlformats.org/officeDocument/2006/relationships/hyperlink" Target="https://www.dratings.com/predictor/nba-basketball-predictions/41a2c563-ab85-5fb4-9ded-550c6be1a1bd" TargetMode="External"/><Relationship Id="rId29" Type="http://schemas.openxmlformats.org/officeDocument/2006/relationships/hyperlink" Target="https://www.dratings.com/teams/nba-basketball-ratings/324-new-orleans-pelicans" TargetMode="External"/><Relationship Id="rId7" Type="http://schemas.openxmlformats.org/officeDocument/2006/relationships/hyperlink" Target="https://www.dratings.com/predictor/nba-basketball-predictions/aee0290d-e321-56c9-b85b-6cb557f55fff" TargetMode="External"/><Relationship Id="rId8" Type="http://schemas.openxmlformats.org/officeDocument/2006/relationships/hyperlink" Target="https://www.dratings.com/teams/nba-basketball-ratings/310-milwaukee-bucks" TargetMode="External"/><Relationship Id="rId31" Type="http://schemas.openxmlformats.org/officeDocument/2006/relationships/hyperlink" Target="https://www.dratings.com/predictor/nba-basketball-predictions/024b4bdd-fa79-5659-ae9d-c1f22ead930c" TargetMode="External"/><Relationship Id="rId30" Type="http://schemas.openxmlformats.org/officeDocument/2006/relationships/hyperlink" Target="https://www.dratings.com/predictor/nba-basketball-predictions/e164d585-ad86-5cd8-ad19-5956a2aaec71" TargetMode="External"/><Relationship Id="rId11" Type="http://schemas.openxmlformats.org/officeDocument/2006/relationships/hyperlink" Target="https://www.dratings.com/teams/nba-basketball-ratings/327-minnesota-timberwolves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www.dratings.com/predictor/nba-basketball-predictions/d79413df-0e78-558f-9164-4adb14407a7a" TargetMode="External"/><Relationship Id="rId32" Type="http://schemas.openxmlformats.org/officeDocument/2006/relationships/hyperlink" Target="https://www.dratings.com/teams/nba-basketball-ratings/320-sacramento-kings" TargetMode="External"/><Relationship Id="rId13" Type="http://schemas.openxmlformats.org/officeDocument/2006/relationships/hyperlink" Target="https://www.dratings.com/predictor/nba-basketball-predictions/8482b67a-a54a-5c79-99a6-ea2a06faba1f" TargetMode="External"/><Relationship Id="rId12" Type="http://schemas.openxmlformats.org/officeDocument/2006/relationships/hyperlink" Target="https://www.dratings.com/predictor/nba-basketball-predictions/d79413df-0e78-558f-9164-4adb14407a7a" TargetMode="External"/><Relationship Id="rId15" Type="http://schemas.openxmlformats.org/officeDocument/2006/relationships/hyperlink" Target="https://www.dratings.com/predictor/nba-basketball-predictions/8482b67a-a54a-5c79-99a6-ea2a06faba1f" TargetMode="External"/><Relationship Id="rId14" Type="http://schemas.openxmlformats.org/officeDocument/2006/relationships/hyperlink" Target="https://www.dratings.com/teams/nba-basketball-ratings/323-memphis-grizzlies" TargetMode="External"/><Relationship Id="rId17" Type="http://schemas.openxmlformats.org/officeDocument/2006/relationships/hyperlink" Target="https://www.dratings.com/teams/nba-basketball-ratings/304-philadelphia-76ers" TargetMode="External"/><Relationship Id="rId16" Type="http://schemas.openxmlformats.org/officeDocument/2006/relationships/hyperlink" Target="https://www.dratings.com/predictor/nba-basketball-predictions/ca3d7763-c2d0-5fa7-a078-9aaeaa28a57c" TargetMode="External"/><Relationship Id="rId19" Type="http://schemas.openxmlformats.org/officeDocument/2006/relationships/hyperlink" Target="https://www.dratings.com/predictor/nba-basketball-predictions/be5f183b-70ce-5990-ac70-84ce6db04654" TargetMode="External"/><Relationship Id="rId18" Type="http://schemas.openxmlformats.org/officeDocument/2006/relationships/hyperlink" Target="https://www.dratings.com/predictor/nba-basketball-predictions/ca3d7763-c2d0-5fa7-a078-9aaeaa28a57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>
      <c r="A2" s="3" t="s">
        <v>10</v>
      </c>
      <c r="B2" s="4" t="s">
        <v>11</v>
      </c>
      <c r="C2" s="5" t="s">
        <v>12</v>
      </c>
      <c r="D2" s="6" t="s">
        <v>13</v>
      </c>
      <c r="E2" s="6" t="s">
        <v>14</v>
      </c>
      <c r="F2" s="7" t="s">
        <v>15</v>
      </c>
      <c r="G2" s="6">
        <v>228.4</v>
      </c>
      <c r="H2" s="6" t="s">
        <v>16</v>
      </c>
      <c r="I2" s="8"/>
      <c r="J2" s="9"/>
    </row>
    <row r="3">
      <c r="A3" s="3" t="s">
        <v>17</v>
      </c>
      <c r="B3" s="4" t="s">
        <v>18</v>
      </c>
      <c r="C3" s="10" t="s">
        <v>19</v>
      </c>
      <c r="D3" s="11" t="s">
        <v>20</v>
      </c>
      <c r="E3" s="11" t="s">
        <v>21</v>
      </c>
      <c r="F3" s="12" t="s">
        <v>22</v>
      </c>
      <c r="G3" s="11">
        <v>224.6</v>
      </c>
      <c r="H3" s="11" t="s">
        <v>23</v>
      </c>
      <c r="I3" s="12" t="s">
        <v>24</v>
      </c>
      <c r="J3" s="9"/>
    </row>
    <row r="4">
      <c r="A4" s="3" t="s">
        <v>25</v>
      </c>
      <c r="B4" s="4" t="s">
        <v>26</v>
      </c>
      <c r="C4" s="5" t="s">
        <v>27</v>
      </c>
      <c r="D4" s="6" t="s">
        <v>28</v>
      </c>
      <c r="E4" s="6" t="s">
        <v>29</v>
      </c>
      <c r="F4" s="7" t="s">
        <v>30</v>
      </c>
      <c r="G4" s="6">
        <v>227.6</v>
      </c>
      <c r="H4" s="6" t="s">
        <v>31</v>
      </c>
      <c r="I4" s="8"/>
      <c r="J4" s="9"/>
    </row>
    <row r="5">
      <c r="A5" s="3" t="s">
        <v>32</v>
      </c>
      <c r="B5" s="4" t="s">
        <v>33</v>
      </c>
      <c r="C5" s="13" t="s">
        <v>34</v>
      </c>
      <c r="D5" s="14">
        <f>+130
-150</f>
        <v>-20</v>
      </c>
      <c r="E5" s="14">
        <f>+3-109
-3-109</f>
        <v>-218</v>
      </c>
      <c r="F5" s="12" t="s">
        <v>35</v>
      </c>
      <c r="G5" s="11">
        <v>234.8</v>
      </c>
      <c r="H5" s="11" t="s">
        <v>36</v>
      </c>
      <c r="I5" s="12" t="s">
        <v>24</v>
      </c>
      <c r="J5" s="9"/>
    </row>
    <row r="6">
      <c r="A6" s="3" t="s">
        <v>37</v>
      </c>
      <c r="B6" s="4" t="s">
        <v>38</v>
      </c>
      <c r="C6" s="5" t="s">
        <v>39</v>
      </c>
      <c r="D6" s="6" t="s">
        <v>40</v>
      </c>
      <c r="E6" s="15">
        <f>+1-109
+1-110</f>
        <v>-217</v>
      </c>
      <c r="F6" s="7" t="s">
        <v>41</v>
      </c>
      <c r="G6" s="6">
        <v>237.7</v>
      </c>
      <c r="H6" s="6" t="s">
        <v>42</v>
      </c>
      <c r="I6" s="8"/>
      <c r="J6" s="9"/>
    </row>
    <row r="7">
      <c r="A7" s="3" t="s">
        <v>43</v>
      </c>
      <c r="B7" s="4" t="s">
        <v>44</v>
      </c>
      <c r="C7" s="13" t="s">
        <v>45</v>
      </c>
      <c r="D7" s="14">
        <f>+290
-330</f>
        <v>-40</v>
      </c>
      <c r="E7" s="14" t="str">
        <f>+9½-109
-8½-110</f>
        <v>#ERROR!</v>
      </c>
      <c r="F7" s="12" t="s">
        <v>46</v>
      </c>
      <c r="G7" s="11">
        <v>223.7</v>
      </c>
      <c r="H7" s="11" t="s">
        <v>47</v>
      </c>
      <c r="I7" s="12" t="s">
        <v>24</v>
      </c>
      <c r="J7" s="9"/>
    </row>
    <row r="8">
      <c r="A8" s="3" t="s">
        <v>48</v>
      </c>
      <c r="B8" s="4" t="s">
        <v>49</v>
      </c>
      <c r="C8" s="5" t="s">
        <v>50</v>
      </c>
      <c r="D8" s="6" t="s">
        <v>51</v>
      </c>
      <c r="E8" s="6" t="s">
        <v>52</v>
      </c>
      <c r="F8" s="7" t="s">
        <v>53</v>
      </c>
      <c r="G8" s="6">
        <v>223.7</v>
      </c>
      <c r="H8" s="6" t="s">
        <v>54</v>
      </c>
      <c r="I8" s="7" t="s">
        <v>24</v>
      </c>
      <c r="J8" s="9"/>
    </row>
    <row r="9">
      <c r="A9" s="3" t="s">
        <v>55</v>
      </c>
      <c r="B9" s="4" t="s">
        <v>56</v>
      </c>
      <c r="C9" s="13" t="s">
        <v>57</v>
      </c>
      <c r="D9" s="14">
        <f>+190
-220</f>
        <v>-30</v>
      </c>
      <c r="E9" s="14">
        <f>+6-109
-6-109</f>
        <v>-218</v>
      </c>
      <c r="F9" s="12" t="s">
        <v>58</v>
      </c>
      <c r="G9" s="11">
        <v>236.7</v>
      </c>
      <c r="H9" s="11" t="s">
        <v>59</v>
      </c>
      <c r="I9" s="12" t="s">
        <v>24</v>
      </c>
      <c r="J9" s="9"/>
    </row>
    <row r="10">
      <c r="A10" s="3" t="s">
        <v>60</v>
      </c>
      <c r="B10" s="4" t="s">
        <v>61</v>
      </c>
      <c r="C10" s="5" t="s">
        <v>62</v>
      </c>
      <c r="D10" s="6" t="s">
        <v>63</v>
      </c>
      <c r="E10" s="6" t="s">
        <v>64</v>
      </c>
      <c r="F10" s="7" t="s">
        <v>65</v>
      </c>
      <c r="G10" s="6">
        <v>232.1</v>
      </c>
      <c r="H10" s="6" t="s">
        <v>66</v>
      </c>
      <c r="I10" s="7" t="s">
        <v>24</v>
      </c>
      <c r="J10" s="9"/>
    </row>
    <row r="11">
      <c r="A11" s="3" t="s">
        <v>67</v>
      </c>
      <c r="B11" s="4" t="s">
        <v>68</v>
      </c>
      <c r="C11" s="13" t="s">
        <v>69</v>
      </c>
      <c r="D11" s="14">
        <f>+290
-340</f>
        <v>-50</v>
      </c>
      <c r="E11" s="14">
        <f>+9-109
-9-109</f>
        <v>-218</v>
      </c>
      <c r="F11" s="12" t="s">
        <v>70</v>
      </c>
      <c r="G11" s="11">
        <v>225.1</v>
      </c>
      <c r="H11" s="11" t="s">
        <v>71</v>
      </c>
      <c r="I11" s="16"/>
      <c r="J11" s="9"/>
    </row>
    <row r="12">
      <c r="A12" s="3" t="s">
        <v>72</v>
      </c>
      <c r="B12" s="4" t="s">
        <v>73</v>
      </c>
      <c r="C12" s="17" t="s">
        <v>74</v>
      </c>
      <c r="D12" s="15">
        <f>+575
-750</f>
        <v>-175</v>
      </c>
      <c r="E12" s="15" t="str">
        <f>+13-109
-12½-110</f>
        <v>#ERROR!</v>
      </c>
      <c r="F12" s="7" t="s">
        <v>75</v>
      </c>
      <c r="G12" s="6">
        <v>230.0</v>
      </c>
      <c r="H12" s="6" t="s">
        <v>76</v>
      </c>
    </row>
  </sheetData>
  <hyperlinks>
    <hyperlink r:id="rId1" ref="A2"/>
    <hyperlink r:id="rId2" ref="B2"/>
    <hyperlink r:id="rId3" ref="J2"/>
    <hyperlink r:id="rId4" ref="A3"/>
    <hyperlink r:id="rId5" ref="B3"/>
    <hyperlink r:id="rId6" ref="J3"/>
    <hyperlink r:id="rId7" ref="A4"/>
    <hyperlink r:id="rId8" ref="B4"/>
    <hyperlink r:id="rId9" ref="J4"/>
    <hyperlink r:id="rId10" ref="A5"/>
    <hyperlink r:id="rId11" ref="B5"/>
    <hyperlink r:id="rId12" ref="J5"/>
    <hyperlink r:id="rId13" ref="A6"/>
    <hyperlink r:id="rId14" ref="B6"/>
    <hyperlink r:id="rId15" ref="J6"/>
    <hyperlink r:id="rId16" ref="A7"/>
    <hyperlink r:id="rId17" ref="B7"/>
    <hyperlink r:id="rId18" ref="J7"/>
    <hyperlink r:id="rId19" ref="A8"/>
    <hyperlink r:id="rId20" ref="B8"/>
    <hyperlink r:id="rId21" ref="J8"/>
    <hyperlink r:id="rId22" ref="A9"/>
    <hyperlink r:id="rId23" ref="B9"/>
    <hyperlink r:id="rId24" ref="J9"/>
    <hyperlink r:id="rId25" ref="A10"/>
    <hyperlink r:id="rId26" ref="B10"/>
    <hyperlink r:id="rId27" ref="J10"/>
    <hyperlink r:id="rId28" ref="A11"/>
    <hyperlink r:id="rId29" ref="B11"/>
    <hyperlink r:id="rId30" ref="J11"/>
    <hyperlink r:id="rId31" ref="A12"/>
    <hyperlink r:id="rId32" ref="B12"/>
  </hyperlinks>
  <drawing r:id="rId33"/>
</worksheet>
</file>