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<sst xmlns="http://schemas.openxmlformats.org/spreadsheetml/2006/main" count="281" uniqueCount="266">
  <si>
    <t>Time</t>
  </si>
  <si>
    <t>Teams</t>
  </si>
  <si>
    <t>Win</t>
  </si>
  <si>
    <t>Best
ML</t>
  </si>
  <si>
    <t>Best
Spread</t>
  </si>
  <si>
    <t>Points</t>
  </si>
  <si>
    <t>Total
Points</t>
  </si>
  <si>
    <t>Best
O/U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</si>
  <si>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</si>
  <si>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UNC Asheville Bulldogs</t>
    </r>
    <r>
      <rPr>
        <rFont val="&quot;IBM Plex Sans&quot;, sans-serif"/>
        <sz val="12.0"/>
      </rPr>
      <t xml:space="preserve"> (8-12)
</t>
    </r>
    <r>
      <rPr>
        <rFont val="&quot;IBM Plex Sans&quot;, sans-serif"/>
        <color rgb="FF1155CC"/>
        <sz val="12.0"/>
        <u/>
      </rPr>
      <t>USC Upstate Spartans</t>
    </r>
    <r>
      <rPr>
        <rFont val="&quot;IBM Plex Sans&quot;, sans-serif"/>
        <sz val="12.0"/>
      </rPr>
      <t xml:space="preserve"> (9-11)</t>
    </r>
  </si>
  <si>
    <t>55.1%
44.9%</t>
  </si>
  <si>
    <t>78.1
76.1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</si>
  <si>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</si>
  <si>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Lafayette Leopards</t>
    </r>
    <r>
      <rPr>
        <rFont val="&quot;IBM Plex Sans&quot;, sans-serif"/>
        <sz val="12.0"/>
      </rPr>
      <t xml:space="preserve"> (5-14)
</t>
    </r>
    <r>
      <rPr>
        <rFont val="&quot;IBM Plex Sans&quot;, sans-serif"/>
        <color rgb="FF1155CC"/>
        <sz val="12.0"/>
        <u/>
      </rPr>
      <t>Boston University Terriers</t>
    </r>
    <r>
      <rPr>
        <rFont val="&quot;IBM Plex Sans&quot;, sans-serif"/>
        <sz val="12.0"/>
      </rPr>
      <t xml:space="preserve"> (7-12)</t>
    </r>
  </si>
  <si>
    <t>35.7%
64.3%</t>
  </si>
  <si>
    <t>66.8
71.5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</si>
  <si>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</si>
  <si>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UNC Greensboro Spartans</t>
    </r>
    <r>
      <rPr>
        <rFont val="&quot;IBM Plex Sans&quot;, sans-serif"/>
        <sz val="12.0"/>
      </rPr>
      <t xml:space="preserve"> (7-12)
</t>
    </r>
    <r>
      <rPr>
        <rFont val="&quot;IBM Plex Sans&quot;, sans-serif"/>
        <color rgb="FF1155CC"/>
        <sz val="12.0"/>
        <u/>
      </rPr>
      <t>VMI Keydets</t>
    </r>
    <r>
      <rPr>
        <rFont val="&quot;IBM Plex Sans&quot;, sans-serif"/>
        <sz val="12.0"/>
      </rPr>
      <t xml:space="preserve"> (6-13)</t>
    </r>
  </si>
  <si>
    <t>59.9%
40.1%</t>
  </si>
  <si>
    <t>-2½-109
+2½-109</t>
  </si>
  <si>
    <t>77.2
73.8</t>
  </si>
  <si>
    <t>o150½-110
u150½-110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</si>
  <si>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</si>
  <si>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Samford Bulldogs</t>
    </r>
    <r>
      <rPr>
        <rFont val="&quot;IBM Plex Sans&quot;, sans-serif"/>
        <sz val="12.0"/>
      </rPr>
      <t xml:space="preserve"> (9-10)
</t>
    </r>
    <r>
      <rPr>
        <rFont val="&quot;IBM Plex Sans&quot;, sans-serif"/>
        <color rgb="FF1155CC"/>
        <sz val="12.0"/>
        <u/>
      </rPr>
      <t>Wofford Terriers</t>
    </r>
    <r>
      <rPr>
        <rFont val="&quot;IBM Plex Sans&quot;, sans-serif"/>
        <sz val="12.0"/>
      </rPr>
      <t xml:space="preserve"> (12-7)</t>
    </r>
  </si>
  <si>
    <t>38.1%
61.9%</t>
  </si>
  <si>
    <t>76.1
80.0</t>
  </si>
  <si>
    <t>o156½-110
u156½-110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</si>
  <si>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</si>
  <si>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Radford Highlanders</t>
    </r>
    <r>
      <rPr>
        <rFont val="&quot;IBM Plex Sans&quot;, sans-serif"/>
        <sz val="12.0"/>
      </rPr>
      <t xml:space="preserve"> (11-9)
</t>
    </r>
    <r>
      <rPr>
        <rFont val="&quot;IBM Plex Sans&quot;, sans-serif"/>
        <color rgb="FF1155CC"/>
        <sz val="12.0"/>
        <u/>
      </rPr>
      <t>Winthrop Eagles</t>
    </r>
    <r>
      <rPr>
        <rFont val="&quot;IBM Plex Sans&quot;, sans-serif"/>
        <sz val="12.0"/>
      </rPr>
      <t xml:space="preserve"> (13-8)</t>
    </r>
  </si>
  <si>
    <t>22.5%
77.5%</t>
  </si>
  <si>
    <t>79.2
87.6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</si>
  <si>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</si>
  <si>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Dayton Flyers</t>
    </r>
    <r>
      <rPr>
        <rFont val="&quot;IBM Plex Sans&quot;, sans-serif"/>
        <sz val="12.0"/>
      </rPr>
      <t xml:space="preserve"> (14-4)
</t>
    </r>
    <r>
      <rPr>
        <rFont val="&quot;IBM Plex Sans&quot;, sans-serif"/>
        <color rgb="FF1155CC"/>
        <sz val="12.0"/>
        <u/>
      </rPr>
      <t>La Salle Explorers</t>
    </r>
    <r>
      <rPr>
        <rFont val="&quot;IBM Plex Sans&quot;, sans-serif"/>
        <sz val="12.0"/>
      </rPr>
      <t xml:space="preserve"> (6-13)</t>
    </r>
  </si>
  <si>
    <t>89.9%
10.1%</t>
  </si>
  <si>
    <t>-10-110
+10½-109</t>
  </si>
  <si>
    <t>78.9
66.0</t>
  </si>
  <si>
    <t>o135½-110
u136-110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</si>
  <si>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</si>
  <si>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Xavier Musketeers</t>
    </r>
    <r>
      <rPr>
        <rFont val="&quot;IBM Plex Sans&quot;, sans-serif"/>
        <sz val="12.0"/>
      </rPr>
      <t xml:space="preserve"> (11-7)
</t>
    </r>
    <r>
      <rPr>
        <rFont val="&quot;IBM Plex Sans&quot;, sans-serif"/>
        <color rgb="FF1155CC"/>
        <sz val="12.0"/>
        <u/>
      </rPr>
      <t>Creighton Bluejays</t>
    </r>
    <r>
      <rPr>
        <rFont val="&quot;IBM Plex Sans&quot;, sans-serif"/>
        <sz val="12.0"/>
      </rPr>
      <t xml:space="preserve"> (11-8)</t>
    </r>
  </si>
  <si>
    <t>23.4%
76.6%</t>
  </si>
  <si>
    <t>73.2
81.4</t>
  </si>
  <si>
    <t>o155½-110
u155½-110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</si>
  <si>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</si>
  <si>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Troy Trojans</t>
    </r>
    <r>
      <rPr>
        <rFont val="&quot;IBM Plex Sans&quot;, sans-serif"/>
        <sz val="12.0"/>
      </rPr>
      <t xml:space="preserve"> (13-6)
</t>
    </r>
    <r>
      <rPr>
        <rFont val="&quot;IBM Plex Sans&quot;, sans-serif"/>
        <color rgb="FF1155CC"/>
        <sz val="12.0"/>
        <u/>
      </rPr>
      <t>Old Dominion Monarchs</t>
    </r>
    <r>
      <rPr>
        <rFont val="&quot;IBM Plex Sans&quot;, sans-serif"/>
        <sz val="12.0"/>
      </rPr>
      <t xml:space="preserve"> (6-14)</t>
    </r>
  </si>
  <si>
    <t>77.4%
22.6%</t>
  </si>
  <si>
    <t>-6½-109
+7-110</t>
  </si>
  <si>
    <t>80.3
71.9</t>
  </si>
  <si>
    <t>o152½-110
u153½-110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</si>
  <si>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</si>
  <si>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Colgate Raiders</t>
    </r>
    <r>
      <rPr>
        <rFont val="&quot;IBM Plex Sans&quot;, sans-serif"/>
        <sz val="12.0"/>
      </rPr>
      <t xml:space="preserve"> (11-8)
</t>
    </r>
    <r>
      <rPr>
        <rFont val="&quot;IBM Plex Sans&quot;, sans-serif"/>
        <color rgb="FF1155CC"/>
        <sz val="12.0"/>
        <u/>
      </rPr>
      <t>American University Eagles</t>
    </r>
    <r>
      <rPr>
        <rFont val="&quot;IBM Plex Sans&quot;, sans-serif"/>
        <sz val="12.0"/>
      </rPr>
      <t xml:space="preserve"> (11-8)</t>
    </r>
  </si>
  <si>
    <t>50.5%
49.5%</t>
  </si>
  <si>
    <t>72.0
71.8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</si>
  <si>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</si>
  <si>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Longhorns</t>
    </r>
    <r>
      <rPr>
        <rFont val="&quot;IBM Plex Sans&quot;, sans-serif"/>
        <sz val="12.0"/>
      </rPr>
      <t xml:space="preserve"> (11-7)
</t>
    </r>
    <r>
      <rPr>
        <rFont val="&quot;IBM Plex Sans&quot;, sans-serif"/>
        <color rgb="FF1155CC"/>
        <sz val="12.0"/>
        <u/>
      </rPr>
      <t>Kentucky Wildcats</t>
    </r>
    <r>
      <rPr>
        <rFont val="&quot;IBM Plex Sans&quot;, sans-serif"/>
        <sz val="12.0"/>
      </rPr>
      <t xml:space="preserve"> (12-6)</t>
    </r>
  </si>
  <si>
    <t>30.8%
69.2%</t>
  </si>
  <si>
    <t>78.4
84.3</t>
  </si>
  <si>
    <t>o154½-110
u154½-110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</si>
  <si>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</si>
  <si>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IPFW Mastodons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Detroit Titans</t>
    </r>
    <r>
      <rPr>
        <rFont val="&quot;IBM Plex Sans&quot;, sans-serif"/>
        <sz val="12.0"/>
      </rPr>
      <t xml:space="preserve"> (8-10)</t>
    </r>
  </si>
  <si>
    <t>62.4%
37.6%</t>
  </si>
  <si>
    <t>81.5
77.6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</si>
  <si>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</si>
  <si>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Fordham Rams</t>
    </r>
    <r>
      <rPr>
        <rFont val="&quot;IBM Plex Sans&quot;, sans-serif"/>
        <sz val="12.0"/>
      </rPr>
      <t xml:space="preserve"> (10-9)
</t>
    </r>
    <r>
      <rPr>
        <rFont val="&quot;IBM Plex Sans&quot;, sans-serif"/>
        <color rgb="FF1155CC"/>
        <sz val="12.0"/>
        <u/>
      </rPr>
      <t>Davidson Wildcats</t>
    </r>
    <r>
      <rPr>
        <rFont val="&quot;IBM Plex Sans&quot;, sans-serif"/>
        <sz val="12.0"/>
      </rPr>
      <t xml:space="preserve"> (11-6)</t>
    </r>
  </si>
  <si>
    <t>65.6
74.0</t>
  </si>
  <si>
    <t>o131½-110
u132½-110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</si>
  <si>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</si>
  <si>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Tulane Green Wave</t>
    </r>
    <r>
      <rPr>
        <rFont val="&quot;IBM Plex Sans&quot;, sans-serif"/>
        <sz val="12.0"/>
      </rPr>
      <t xml:space="preserve"> (12-6)
</t>
    </r>
    <r>
      <rPr>
        <rFont val="&quot;IBM Plex Sans&quot;, sans-serif"/>
        <color rgb="FF1155CC"/>
        <sz val="12.0"/>
        <u/>
      </rPr>
      <t>Florida Atlantic</t>
    </r>
    <r>
      <rPr>
        <rFont val="&quot;IBM Plex Sans&quot;, sans-serif"/>
        <sz val="12.0"/>
      </rPr>
      <t xml:space="preserve"> (13-6)</t>
    </r>
  </si>
  <si>
    <t>21.0%
79.0%</t>
  </si>
  <si>
    <t>71.1
79.8</t>
  </si>
  <si>
    <t>o155½-110
u156-110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</si>
  <si>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</si>
  <si>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Georgetown Hoyas</t>
    </r>
    <r>
      <rPr>
        <rFont val="&quot;IBM Plex Sans&quot;, sans-serif"/>
        <sz val="12.0"/>
      </rPr>
      <t xml:space="preserve"> (9-9)
</t>
    </r>
    <r>
      <rPr>
        <rFont val="&quot;IBM Plex Sans&quot;, sans-serif"/>
        <color rgb="FF1155CC"/>
        <sz val="12.0"/>
        <u/>
      </rPr>
      <t>Villanova Wildcats</t>
    </r>
    <r>
      <rPr>
        <rFont val="&quot;IBM Plex Sans&quot;, sans-serif"/>
        <sz val="12.0"/>
      </rPr>
      <t xml:space="preserve"> (14-4)</t>
    </r>
  </si>
  <si>
    <t>17.0%
83.0%</t>
  </si>
  <si>
    <t>69.4
79.6</t>
  </si>
  <si>
    <t>o143-110
u143½-110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</si>
  <si>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</si>
  <si>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Notre Dame Fighting Irish</t>
    </r>
    <r>
      <rPr>
        <rFont val="&quot;IBM Plex Sans&quot;, sans-serif"/>
        <sz val="12.0"/>
      </rPr>
      <t xml:space="preserve"> (10-8)
</t>
    </r>
    <r>
      <rPr>
        <rFont val="&quot;IBM Plex Sans&quot;, sans-serif"/>
        <color rgb="FF1155CC"/>
        <sz val="12.0"/>
        <u/>
      </rPr>
      <t>UNC Tar Heels</t>
    </r>
    <r>
      <rPr>
        <rFont val="&quot;IBM Plex Sans&quot;, sans-serif"/>
        <sz val="12.0"/>
      </rPr>
      <t xml:space="preserve"> (14-4)</t>
    </r>
  </si>
  <si>
    <t>13.1%
86.9%</t>
  </si>
  <si>
    <t>69.0
80.3</t>
  </si>
  <si>
    <t>o148½-110
u148½-110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</si>
  <si>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</si>
  <si>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Charleston Southern Buccaneers</t>
    </r>
    <r>
      <rPr>
        <rFont val="&quot;IBM Plex Sans&quot;, sans-serif"/>
        <sz val="12.0"/>
      </rPr>
      <t xml:space="preserve"> (11-9)
</t>
    </r>
    <r>
      <rPr>
        <rFont val="&quot;IBM Plex Sans&quot;, sans-serif"/>
        <color rgb="FF1155CC"/>
        <sz val="12.0"/>
        <u/>
      </rPr>
      <t>Presbyterian Blue Hose</t>
    </r>
    <r>
      <rPr>
        <rFont val="&quot;IBM Plex Sans&quot;, sans-serif"/>
        <sz val="12.0"/>
      </rPr>
      <t xml:space="preserve"> (10-10)</t>
    </r>
  </si>
  <si>
    <t>52.0%
48.0%</t>
  </si>
  <si>
    <t>74.9
74.0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</si>
  <si>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</si>
  <si>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ETSU Buccaneers</t>
    </r>
    <r>
      <rPr>
        <rFont val="&quot;IBM Plex Sans&quot;, sans-serif"/>
        <sz val="12.0"/>
      </rPr>
      <t xml:space="preserve"> (13-6)
</t>
    </r>
    <r>
      <rPr>
        <rFont val="&quot;IBM Plex Sans&quot;, sans-serif"/>
        <color rgb="FF1155CC"/>
        <sz val="12.0"/>
        <u/>
      </rPr>
      <t>Chattanooga Mocs</t>
    </r>
    <r>
      <rPr>
        <rFont val="&quot;IBM Plex Sans&quot;, sans-serif"/>
        <sz val="12.0"/>
      </rPr>
      <t xml:space="preserve"> (9-10)</t>
    </r>
  </si>
  <si>
    <t>70.8%
29.2%</t>
  </si>
  <si>
    <t>-4½-110
+5-109</t>
  </si>
  <si>
    <t>76.7
70.6</t>
  </si>
  <si>
    <t>o145½-110
u146-110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</si>
  <si>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</si>
  <si>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Rhode Island Rams</t>
    </r>
    <r>
      <rPr>
        <rFont val="&quot;IBM Plex Sans&quot;, sans-serif"/>
        <sz val="12.0"/>
      </rPr>
      <t xml:space="preserve"> (10-8)
</t>
    </r>
    <r>
      <rPr>
        <rFont val="&quot;IBM Plex Sans&quot;, sans-serif"/>
        <color rgb="FF1155CC"/>
        <sz val="12.0"/>
        <u/>
      </rPr>
      <t>Richmond Spiders</t>
    </r>
    <r>
      <rPr>
        <rFont val="&quot;IBM Plex Sans&quot;, sans-serif"/>
        <sz val="12.0"/>
      </rPr>
      <t xml:space="preserve"> (13-6)</t>
    </r>
  </si>
  <si>
    <t>43.0%
57.0%</t>
  </si>
  <si>
    <t>72.8
75.5</t>
  </si>
  <si>
    <t>o143-110
u143-110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</si>
  <si>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</si>
  <si>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Army Black Knights</t>
    </r>
    <r>
      <rPr>
        <rFont val="&quot;IBM Plex Sans&quot;, sans-serif"/>
        <sz val="12.0"/>
      </rPr>
      <t xml:space="preserve"> (7-12)
</t>
    </r>
    <r>
      <rPr>
        <rFont val="&quot;IBM Plex Sans&quot;, sans-serif"/>
        <color rgb="FF1155CC"/>
        <sz val="12.0"/>
        <u/>
      </rPr>
      <t>Bucknell Bison</t>
    </r>
    <r>
      <rPr>
        <rFont val="&quot;IBM Plex Sans&quot;, sans-serif"/>
        <sz val="12.0"/>
      </rPr>
      <t xml:space="preserve"> (6-13)</t>
    </r>
  </si>
  <si>
    <t>26.9%
73.1%</t>
  </si>
  <si>
    <t>68.1
75.4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</si>
  <si>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</si>
  <si>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Pitt Panthers</t>
    </r>
    <r>
      <rPr>
        <rFont val="&quot;IBM Plex Sans&quot;, sans-serif"/>
        <sz val="12.0"/>
      </rPr>
      <t xml:space="preserve"> (8-10)
</t>
    </r>
    <r>
      <rPr>
        <rFont val="&quot;IBM Plex Sans&quot;, sans-serif"/>
        <color rgb="FF1155CC"/>
        <sz val="12.0"/>
        <u/>
      </rPr>
      <t>Boston College Eagles</t>
    </r>
    <r>
      <rPr>
        <rFont val="&quot;IBM Plex Sans&quot;, sans-serif"/>
        <sz val="12.0"/>
      </rPr>
      <t xml:space="preserve"> (8-10)</t>
    </r>
  </si>
  <si>
    <t>66.0%
34.0%</t>
  </si>
  <si>
    <t>-1½-109
+2-110</t>
  </si>
  <si>
    <t>72.8
67.7</t>
  </si>
  <si>
    <t>o136½-110
u136½-110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</si>
  <si>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</si>
  <si>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Indiana State Sycamores</t>
    </r>
    <r>
      <rPr>
        <rFont val="&quot;IBM Plex Sans&quot;, sans-serif"/>
        <sz val="12.0"/>
      </rPr>
      <t xml:space="preserve"> (9-10)
</t>
    </r>
    <r>
      <rPr>
        <rFont val="&quot;IBM Plex Sans&quot;, sans-serif"/>
        <color rgb="FF1155CC"/>
        <sz val="12.0"/>
        <u/>
      </rPr>
      <t>Bradley University Braves</t>
    </r>
    <r>
      <rPr>
        <rFont val="&quot;IBM Plex Sans&quot;, sans-serif"/>
        <sz val="12.0"/>
      </rPr>
      <t xml:space="preserve"> (13-7)</t>
    </r>
  </si>
  <si>
    <t>17.5%
82.5%</t>
  </si>
  <si>
    <t>71.1
81.0</t>
  </si>
  <si>
    <t>o153½-110
u153½-110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</si>
  <si>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</si>
  <si>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Murray State Racers</t>
    </r>
    <r>
      <rPr>
        <rFont val="&quot;IBM Plex Sans&quot;, sans-serif"/>
        <sz val="12.0"/>
      </rPr>
      <t xml:space="preserve"> (16-3)
</t>
    </r>
    <r>
      <rPr>
        <rFont val="&quot;IBM Plex Sans&quot;, sans-serif"/>
        <color rgb="FF1155CC"/>
        <sz val="12.0"/>
        <u/>
      </rPr>
      <t>Drake Bulldogs</t>
    </r>
    <r>
      <rPr>
        <rFont val="&quot;IBM Plex Sans&quot;, sans-serif"/>
        <sz val="12.0"/>
      </rPr>
      <t xml:space="preserve"> (9-10)</t>
    </r>
  </si>
  <si>
    <t>74.1%
25.9%</t>
  </si>
  <si>
    <t>-4½-110
+5½-109</t>
  </si>
  <si>
    <t>80.4
72.8</t>
  </si>
  <si>
    <t>o157½-110
u158½-110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</si>
  <si>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</si>
  <si>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Alabama Lions</t>
    </r>
    <r>
      <rPr>
        <rFont val="&quot;IBM Plex Sans&quot;, sans-serif"/>
        <sz val="12.0"/>
      </rPr>
      <t xml:space="preserve"> (6-11)
</t>
    </r>
    <r>
      <rPr>
        <rFont val="&quot;IBM Plex Sans&quot;, sans-serif"/>
        <color rgb="FF1155CC"/>
        <sz val="12.0"/>
        <u/>
      </rPr>
      <t>Queens Royals</t>
    </r>
    <r>
      <rPr>
        <rFont val="&quot;IBM Plex Sans&quot;, sans-serif"/>
        <sz val="12.0"/>
      </rPr>
      <t xml:space="preserve"> (11-8)</t>
    </r>
  </si>
  <si>
    <t>17.4%
82.6%</t>
  </si>
  <si>
    <t>74.3
84.4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</si>
  <si>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</si>
  <si>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Holy Cross Crusaders</t>
    </r>
    <r>
      <rPr>
        <rFont val="&quot;IBM Plex Sans&quot;, sans-serif"/>
        <sz val="12.0"/>
      </rPr>
      <t xml:space="preserve"> (8-11)
</t>
    </r>
    <r>
      <rPr>
        <rFont val="&quot;IBM Plex Sans&quot;, sans-serif"/>
        <color rgb="FF1155CC"/>
        <sz val="12.0"/>
        <u/>
      </rPr>
      <t>Navy Midshipmen</t>
    </r>
    <r>
      <rPr>
        <rFont val="&quot;IBM Plex Sans&quot;, sans-serif"/>
        <sz val="12.0"/>
      </rPr>
      <t xml:space="preserve"> (13-6)</t>
    </r>
  </si>
  <si>
    <t>63.2
73.4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</si>
  <si>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</si>
  <si>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Maryland Terrapins</t>
    </r>
    <r>
      <rPr>
        <rFont val="&quot;IBM Plex Sans&quot;, sans-serif"/>
        <sz val="12.0"/>
      </rPr>
      <t xml:space="preserve"> (8-10)
</t>
    </r>
    <r>
      <rPr>
        <rFont val="&quot;IBM Plex Sans&quot;, sans-serif"/>
        <color rgb="FF1155CC"/>
        <sz val="12.0"/>
        <u/>
      </rPr>
      <t>Illinois Fighting Illini</t>
    </r>
    <r>
      <rPr>
        <rFont val="&quot;IBM Plex Sans&quot;, sans-serif"/>
        <sz val="12.0"/>
      </rPr>
      <t xml:space="preserve"> (15-3)</t>
    </r>
  </si>
  <si>
    <t>3.5%
96.5%</t>
  </si>
  <si>
    <t>68.7
88.3</t>
  </si>
  <si>
    <t>o149-110
u149-110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</si>
  <si>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</si>
  <si>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Western Carolina Catamounts</t>
    </r>
    <r>
      <rPr>
        <rFont val="&quot;IBM Plex Sans&quot;, sans-serif"/>
        <sz val="12.0"/>
      </rPr>
      <t xml:space="preserve"> (6-11)
</t>
    </r>
    <r>
      <rPr>
        <rFont val="&quot;IBM Plex Sans&quot;, sans-serif"/>
        <color rgb="FF1155CC"/>
        <sz val="12.0"/>
        <u/>
      </rPr>
      <t>Mercer Bears</t>
    </r>
    <r>
      <rPr>
        <rFont val="&quot;IBM Plex Sans&quot;, sans-serif"/>
        <sz val="12.0"/>
      </rPr>
      <t xml:space="preserve"> (12-7)</t>
    </r>
  </si>
  <si>
    <t>22.2%
77.8%</t>
  </si>
  <si>
    <t>74.9
83.3</t>
  </si>
  <si>
    <t>o159½-110
u160-110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</si>
  <si>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</si>
  <si>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Gardner Webb Runnin' Bulldogs</t>
    </r>
    <r>
      <rPr>
        <rFont val="&quot;IBM Plex Sans&quot;, sans-serif"/>
        <sz val="12.0"/>
      </rPr>
      <t xml:space="preserve"> (2-18)
</t>
    </r>
    <r>
      <rPr>
        <rFont val="&quot;IBM Plex Sans&quot;, sans-serif"/>
        <color rgb="FF1155CC"/>
        <sz val="12.0"/>
        <u/>
      </rPr>
      <t>Longwood Lancers</t>
    </r>
    <r>
      <rPr>
        <rFont val="&quot;IBM Plex Sans&quot;, sans-serif"/>
        <sz val="12.0"/>
      </rPr>
      <t xml:space="preserve"> (10-10)</t>
    </r>
  </si>
  <si>
    <t>8.4%
91.6%</t>
  </si>
  <si>
    <t>71.0
85.1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</si>
  <si>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</si>
  <si>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Furman Paladins</t>
    </r>
    <r>
      <rPr>
        <rFont val="&quot;IBM Plex Sans&quot;, sans-serif"/>
        <sz val="12.0"/>
      </rPr>
      <t xml:space="preserve"> (13-6)
</t>
    </r>
    <r>
      <rPr>
        <rFont val="&quot;IBM Plex Sans&quot;, sans-serif"/>
        <color rgb="FF1155CC"/>
        <sz val="12.0"/>
        <u/>
      </rPr>
      <t>The Citadel Bulldogs</t>
    </r>
    <r>
      <rPr>
        <rFont val="&quot;IBM Plex Sans&quot;, sans-serif"/>
        <sz val="12.0"/>
      </rPr>
      <t xml:space="preserve"> (5-14)</t>
    </r>
  </si>
  <si>
    <t>89.4%
10.6%</t>
  </si>
  <si>
    <t>-10½-109
+10½-109</t>
  </si>
  <si>
    <t>79.3
66.8</t>
  </si>
  <si>
    <t>o139½-110
u140-110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</si>
  <si>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</si>
  <si>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Cleveland State Vikings</t>
    </r>
    <r>
      <rPr>
        <rFont val="&quot;IBM Plex Sans&quot;, sans-serif"/>
        <sz val="12.0"/>
      </rPr>
      <t xml:space="preserve"> (6-14)
</t>
    </r>
    <r>
      <rPr>
        <rFont val="&quot;IBM Plex Sans&quot;, sans-serif"/>
        <color rgb="FF1155CC"/>
        <sz val="12.0"/>
        <u/>
      </rPr>
      <t>Wright State Raiders</t>
    </r>
    <r>
      <rPr>
        <rFont val="&quot;IBM Plex Sans&quot;, sans-serif"/>
        <sz val="12.0"/>
      </rPr>
      <t xml:space="preserve"> (12-7)</t>
    </r>
  </si>
  <si>
    <t>8.7%
91.3%</t>
  </si>
  <si>
    <t>73.7
87.4</t>
  </si>
  <si>
    <t>o158-110
u158-110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</si>
  <si>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</si>
  <si>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IUPUI Jaguars</t>
    </r>
    <r>
      <rPr>
        <rFont val="&quot;IBM Plex Sans&quot;, sans-serif"/>
        <sz val="12.0"/>
      </rPr>
      <t xml:space="preserve"> (5-16)
</t>
    </r>
    <r>
      <rPr>
        <rFont val="&quot;IBM Plex Sans&quot;, sans-serif"/>
        <color rgb="FF1155CC"/>
        <sz val="12.0"/>
        <u/>
      </rPr>
      <t>Oakland Golden Grizzlies</t>
    </r>
    <r>
      <rPr>
        <rFont val="&quot;IBM Plex Sans&quot;, sans-serif"/>
        <sz val="12.0"/>
      </rPr>
      <t xml:space="preserve"> (11-9)</t>
    </r>
  </si>
  <si>
    <t>8.5%
91.5%</t>
  </si>
  <si>
    <t>81.4
95.4</t>
  </si>
  <si>
    <t>o177½-110
u178½-110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</si>
  <si>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</si>
  <si>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Kennesaw State Owls</t>
    </r>
    <r>
      <rPr>
        <rFont val="&quot;IBM Plex Sans&quot;, sans-serif"/>
        <sz val="12.0"/>
      </rPr>
      <t xml:space="preserve"> (12-6)
</t>
    </r>
    <r>
      <rPr>
        <rFont val="&quot;IBM Plex Sans&quot;, sans-serif"/>
        <color rgb="FF1155CC"/>
        <sz val="12.0"/>
        <u/>
      </rPr>
      <t>Sam Houston State Bearkats</t>
    </r>
    <r>
      <rPr>
        <rFont val="&quot;IBM Plex Sans&quot;, sans-serif"/>
        <sz val="12.0"/>
      </rPr>
      <t xml:space="preserve"> (11-7)</t>
    </r>
  </si>
  <si>
    <t>33.4%
66.6%</t>
  </si>
  <si>
    <t>78.2
83.6</t>
  </si>
  <si>
    <t>o166½-110
u166½-110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</si>
  <si>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</si>
  <si>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Liberty Flames</t>
    </r>
    <r>
      <rPr>
        <rFont val="&quot;IBM Plex Sans&quot;, sans-serif"/>
        <sz val="12.0"/>
      </rPr>
      <t xml:space="preserve"> (15-3)
</t>
    </r>
    <r>
      <rPr>
        <rFont val="&quot;IBM Plex Sans&quot;, sans-serif"/>
        <color rgb="FF1155CC"/>
        <sz val="12.0"/>
        <u/>
      </rPr>
      <t>Western Kentucky Hilltoppers</t>
    </r>
    <r>
      <rPr>
        <rFont val="&quot;IBM Plex Sans&quot;, sans-serif"/>
        <sz val="12.0"/>
      </rPr>
      <t xml:space="preserve"> (11-7)</t>
    </r>
  </si>
  <si>
    <t>65.5%
34.5%</t>
  </si>
  <si>
    <t>-1-110
+1½-109</t>
  </si>
  <si>
    <t>78.2
73.3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</si>
  <si>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</si>
  <si>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 Carolina Pirates</t>
    </r>
    <r>
      <rPr>
        <rFont val="&quot;IBM Plex Sans&quot;, sans-serif"/>
        <sz val="12.0"/>
      </rPr>
      <t xml:space="preserve"> (5-13)
</t>
    </r>
    <r>
      <rPr>
        <rFont val="&quot;IBM Plex Sans&quot;, sans-serif"/>
        <color rgb="FF1155CC"/>
        <sz val="12.0"/>
        <u/>
      </rPr>
      <t>Wichita State Shockers</t>
    </r>
    <r>
      <rPr>
        <rFont val="&quot;IBM Plex Sans&quot;, sans-serif"/>
        <sz val="12.0"/>
      </rPr>
      <t xml:space="preserve"> (11-8)</t>
    </r>
  </si>
  <si>
    <t>67.9
79.2</t>
  </si>
  <si>
    <t>o144½-110
u144½-110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</si>
  <si>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</si>
  <si>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Dakota Coyotes</t>
    </r>
    <r>
      <rPr>
        <rFont val="&quot;IBM Plex Sans&quot;, sans-serif"/>
        <sz val="12.0"/>
      </rPr>
      <t xml:space="preserve"> (10-10)
</t>
    </r>
    <r>
      <rPr>
        <rFont val="&quot;IBM Plex Sans&quot;, sans-serif"/>
        <color rgb="FF1155CC"/>
        <sz val="12.0"/>
        <u/>
      </rPr>
      <t>Omaha Mavericks</t>
    </r>
    <r>
      <rPr>
        <rFont val="&quot;IBM Plex Sans&quot;, sans-serif"/>
        <sz val="12.0"/>
      </rPr>
      <t xml:space="preserve"> (9-11)</t>
    </r>
  </si>
  <si>
    <t>38.5%
61.5%</t>
  </si>
  <si>
    <t>81.2
85.1</t>
  </si>
  <si>
    <t>o160½-110
u161-110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</si>
  <si>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</si>
  <si>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Illinois Salukis</t>
    </r>
    <r>
      <rPr>
        <rFont val="&quot;IBM Plex Sans&quot;, sans-serif"/>
        <sz val="12.0"/>
      </rPr>
      <t xml:space="preserve"> (8-11)
</t>
    </r>
    <r>
      <rPr>
        <rFont val="&quot;IBM Plex Sans&quot;, sans-serif"/>
        <color rgb="FF1155CC"/>
        <sz val="12.0"/>
        <u/>
      </rPr>
      <t>Valparaiso Beacons</t>
    </r>
    <r>
      <rPr>
        <rFont val="&quot;IBM Plex Sans&quot;, sans-serif"/>
        <sz val="12.0"/>
      </rPr>
      <t xml:space="preserve"> (9-10)</t>
    </r>
  </si>
  <si>
    <t>53.8%
46.2%</t>
  </si>
  <si>
    <t>74.6
73.1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</si>
  <si>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</si>
  <si>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Temple Owls</t>
    </r>
    <r>
      <rPr>
        <rFont val="&quot;IBM Plex Sans&quot;, sans-serif"/>
        <sz val="12.0"/>
      </rPr>
      <t xml:space="preserve"> (11-7)
</t>
    </r>
    <r>
      <rPr>
        <rFont val="&quot;IBM Plex Sans&quot;, sans-serif"/>
        <color rgb="FF1155CC"/>
        <sz val="12.0"/>
        <u/>
      </rPr>
      <t>Rice Owls</t>
    </r>
    <r>
      <rPr>
        <rFont val="&quot;IBM Plex Sans&quot;, sans-serif"/>
        <sz val="12.0"/>
      </rPr>
      <t xml:space="preserve"> (8-10)</t>
    </r>
  </si>
  <si>
    <t>64.9%
35.1%</t>
  </si>
  <si>
    <t>-1-109
+1½-110</t>
  </si>
  <si>
    <t>74.7
70.0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</si>
  <si>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</si>
  <si>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Tarleton State Texans</t>
    </r>
    <r>
      <rPr>
        <rFont val="&quot;IBM Plex Sans&quot;, sans-serif"/>
        <sz val="12.0"/>
      </rPr>
      <t xml:space="preserve"> (11-8)
</t>
    </r>
    <r>
      <rPr>
        <rFont val="&quot;IBM Plex Sans&quot;, sans-serif"/>
        <color rgb="FF1155CC"/>
        <sz val="12.0"/>
        <u/>
      </rPr>
      <t>UT Arlington Mavericks</t>
    </r>
    <r>
      <rPr>
        <rFont val="&quot;IBM Plex Sans&quot;, sans-serif"/>
        <sz val="12.0"/>
      </rPr>
      <t xml:space="preserve"> (12-6)</t>
    </r>
  </si>
  <si>
    <t>38.6%
61.4%</t>
  </si>
  <si>
    <t>68.2
71.9</t>
  </si>
  <si>
    <t>o146½-110
u147½-110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</si>
  <si>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</si>
  <si>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Memphis Tigers</t>
    </r>
    <r>
      <rPr>
        <rFont val="&quot;IBM Plex Sans&quot;, sans-serif"/>
        <sz val="12.0"/>
      </rPr>
      <t xml:space="preserve"> (9-8)
</t>
    </r>
    <r>
      <rPr>
        <rFont val="&quot;IBM Plex Sans&quot;, sans-serif"/>
        <color rgb="FF1155CC"/>
        <sz val="12.0"/>
        <u/>
      </rPr>
      <t>Tulsa Golden Hurricane</t>
    </r>
    <r>
      <rPr>
        <rFont val="&quot;IBM Plex Sans&quot;, sans-serif"/>
        <sz val="12.0"/>
      </rPr>
      <t xml:space="preserve"> (15-3)</t>
    </r>
  </si>
  <si>
    <t>43.5%
56.5%</t>
  </si>
  <si>
    <t>76.7
79.2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</si>
  <si>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</si>
  <si>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UTSA Roadrunners</t>
    </r>
    <r>
      <rPr>
        <rFont val="&quot;IBM Plex Sans&quot;, sans-serif"/>
        <sz val="12.0"/>
      </rPr>
      <t xml:space="preserve"> (4-14)
</t>
    </r>
    <r>
      <rPr>
        <rFont val="&quot;IBM Plex Sans&quot;, sans-serif"/>
        <color rgb="FF1155CC"/>
        <sz val="12.0"/>
        <u/>
      </rPr>
      <t>North Texas Mean Green</t>
    </r>
    <r>
      <rPr>
        <rFont val="&quot;IBM Plex Sans&quot;, sans-serif"/>
        <sz val="12.0"/>
      </rPr>
      <t xml:space="preserve"> (11-7)</t>
    </r>
  </si>
  <si>
    <t>8.8%
91.2%</t>
  </si>
  <si>
    <t>63.1
76.8</t>
  </si>
  <si>
    <t>o137½-110
u138½-110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</si>
  <si>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</si>
  <si>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Valley Wolverines</t>
    </r>
    <r>
      <rPr>
        <rFont val="&quot;IBM Plex Sans&quot;, sans-serif"/>
        <sz val="12.0"/>
      </rPr>
      <t xml:space="preserve"> (15-4)
</t>
    </r>
    <r>
      <rPr>
        <rFont val="&quot;IBM Plex Sans&quot;, sans-serif"/>
        <color rgb="FF1155CC"/>
        <sz val="12.0"/>
        <u/>
      </rPr>
      <t>Southern Utah Thunderbirds</t>
    </r>
    <r>
      <rPr>
        <rFont val="&quot;IBM Plex Sans&quot;, sans-serif"/>
        <sz val="12.0"/>
      </rPr>
      <t xml:space="preserve"> (6-13)</t>
    </r>
  </si>
  <si>
    <t>86.8%
13.2%</t>
  </si>
  <si>
    <t>-11½-109
+11½-109</t>
  </si>
  <si>
    <t>80.1
68.9</t>
  </si>
  <si>
    <t>o157½-110
u157½-110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</si>
  <si>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</si>
  <si>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 Virginia Mountaineers</t>
    </r>
    <r>
      <rPr>
        <rFont val="&quot;IBM Plex Sans&quot;, sans-serif"/>
        <sz val="12.0"/>
      </rPr>
      <t xml:space="preserve"> (12-6)
</t>
    </r>
    <r>
      <rPr>
        <rFont val="&quot;IBM Plex Sans&quot;, sans-serif"/>
        <color rgb="FF1155CC"/>
        <sz val="12.0"/>
        <u/>
      </rPr>
      <t>Arizona State Sun Devils</t>
    </r>
    <r>
      <rPr>
        <rFont val="&quot;IBM Plex Sans&quot;, sans-serif"/>
        <sz val="12.0"/>
      </rPr>
      <t xml:space="preserve"> (10-8)</t>
    </r>
  </si>
  <si>
    <t>53.4%
46.6%</t>
  </si>
  <si>
    <t>73.2
71.6</t>
  </si>
  <si>
    <t>o145½-110
u145½-110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</si>
  <si>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</si>
  <si>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Virginia Tech Hokies</t>
    </r>
    <r>
      <rPr>
        <rFont val="&quot;IBM Plex Sans&quot;, sans-serif"/>
        <sz val="12.0"/>
      </rPr>
      <t xml:space="preserve"> (14-5)
</t>
    </r>
    <r>
      <rPr>
        <rFont val="&quot;IBM Plex Sans&quot;, sans-serif"/>
        <color rgb="FF1155CC"/>
        <sz val="12.0"/>
        <u/>
      </rPr>
      <t>Syracuse Orange</t>
    </r>
    <r>
      <rPr>
        <rFont val="&quot;IBM Plex Sans&quot;, sans-serif"/>
        <sz val="12.0"/>
      </rPr>
      <t xml:space="preserve"> (12-6)</t>
    </r>
  </si>
  <si>
    <t>48.0%
52.0%</t>
  </si>
  <si>
    <t>73.6
74.4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</si>
  <si>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</si>
  <si>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Washington Huskies</t>
    </r>
    <r>
      <rPr>
        <rFont val="&quot;IBM Plex Sans&quot;, sans-serif"/>
        <sz val="12.0"/>
      </rPr>
      <t xml:space="preserve"> (10-8)
</t>
    </r>
    <r>
      <rPr>
        <rFont val="&quot;IBM Plex Sans&quot;, sans-serif"/>
        <color rgb="FF1155CC"/>
        <sz val="12.0"/>
        <u/>
      </rPr>
      <t>Nebraska Cornhuskers</t>
    </r>
    <r>
      <rPr>
        <rFont val="&quot;IBM Plex Sans&quot;, sans-serif"/>
        <sz val="12.0"/>
      </rPr>
      <t xml:space="preserve"> (18-0)</t>
    </r>
  </si>
  <si>
    <t>7.5%
92.5%</t>
  </si>
  <si>
    <t>70.8
85.6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</si>
  <si>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</si>
  <si>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Iowa Panthers</t>
    </r>
    <r>
      <rPr>
        <rFont val="&quot;IBM Plex Sans&quot;, sans-serif"/>
        <sz val="12.0"/>
      </rPr>
      <t xml:space="preserve"> (12-7)
</t>
    </r>
    <r>
      <rPr>
        <rFont val="&quot;IBM Plex Sans&quot;, sans-serif"/>
        <color rgb="FF1155CC"/>
        <sz val="12.0"/>
        <u/>
      </rPr>
      <t>Illinois State Redbirds</t>
    </r>
    <r>
      <rPr>
        <rFont val="&quot;IBM Plex Sans&quot;, sans-serif"/>
        <sz val="12.0"/>
      </rPr>
      <t xml:space="preserve"> (13-6)</t>
    </r>
  </si>
  <si>
    <t>35.9%
64.1%</t>
  </si>
  <si>
    <t>65.9
70.4</t>
  </si>
  <si>
    <t>o130½-110
u131-110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</si>
  <si>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</si>
  <si>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Fresno State Bulldogs</t>
    </r>
    <r>
      <rPr>
        <rFont val="&quot;IBM Plex Sans&quot;, sans-serif"/>
        <sz val="12.0"/>
      </rPr>
      <t xml:space="preserve"> (9-9)
</t>
    </r>
    <r>
      <rPr>
        <rFont val="&quot;IBM Plex Sans&quot;, sans-serif"/>
        <color rgb="FF1155CC"/>
        <sz val="12.0"/>
        <u/>
      </rPr>
      <t>New Mexico Lobos</t>
    </r>
    <r>
      <rPr>
        <rFont val="&quot;IBM Plex Sans&quot;, sans-serif"/>
        <sz val="12.0"/>
      </rPr>
      <t xml:space="preserve"> (14-4)</t>
    </r>
  </si>
  <si>
    <t>10.4%
89.6%</t>
  </si>
  <si>
    <t>69.0
81.7</t>
  </si>
  <si>
    <t>o148-110
u148½-110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</si>
  <si>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</si>
  <si>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Mississippi State Bulldogs</t>
    </r>
    <r>
      <rPr>
        <rFont val="&quot;IBM Plex Sans&quot;, sans-serif"/>
        <sz val="12.0"/>
      </rPr>
      <t xml:space="preserve"> (10-8)
</t>
    </r>
    <r>
      <rPr>
        <rFont val="&quot;IBM Plex Sans&quot;, sans-serif"/>
        <color rgb="FF1155CC"/>
        <sz val="12.0"/>
        <u/>
      </rPr>
      <t>Texas A&amp;M Aggies</t>
    </r>
    <r>
      <rPr>
        <rFont val="&quot;IBM Plex Sans&quot;, sans-serif"/>
        <sz val="12.0"/>
      </rPr>
      <t xml:space="preserve"> (14-4)</t>
    </r>
  </si>
  <si>
    <t>28.4%
71.6%</t>
  </si>
  <si>
    <t>79.8
86.4</t>
  </si>
  <si>
    <t>o161½-110
u162½-110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</si>
  <si>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</si>
  <si>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Cincinnati Bearcats</t>
    </r>
    <r>
      <rPr>
        <rFont val="&quot;IBM Plex Sans&quot;, sans-serif"/>
        <sz val="12.0"/>
      </rPr>
      <t xml:space="preserve"> (10-8)
</t>
    </r>
    <r>
      <rPr>
        <rFont val="&quot;IBM Plex Sans&quot;, sans-serif"/>
        <color rgb="FF1155CC"/>
        <sz val="12.0"/>
        <u/>
      </rPr>
      <t>Arizona Wildcats</t>
    </r>
    <r>
      <rPr>
        <rFont val="&quot;IBM Plex Sans&quot;, sans-serif"/>
        <sz val="12.0"/>
      </rPr>
      <t xml:space="preserve"> (18-0)</t>
    </r>
  </si>
  <si>
    <t>3.1%
96.9%</t>
  </si>
  <si>
    <t>66.4
87.1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</si>
  <si>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</si>
  <si>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Pepperdine Waves</t>
    </r>
    <r>
      <rPr>
        <rFont val="&quot;IBM Plex Sans&quot;, sans-serif"/>
        <sz val="12.0"/>
      </rPr>
      <t xml:space="preserve"> (6-14)
</t>
    </r>
    <r>
      <rPr>
        <rFont val="&quot;IBM Plex Sans&quot;, sans-serif"/>
        <color rgb="FF1155CC"/>
        <sz val="12.0"/>
        <u/>
      </rPr>
      <t>Gonzaga Bulldogs</t>
    </r>
    <r>
      <rPr>
        <rFont val="&quot;IBM Plex Sans&quot;, sans-serif"/>
        <sz val="12.0"/>
      </rPr>
      <t xml:space="preserve"> (19-1)</t>
    </r>
  </si>
  <si>
    <t>0.8%
99.2%</t>
  </si>
  <si>
    <t>62.0
91.3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</si>
  <si>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09:30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</si>
  <si>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Washington State Cougars</t>
    </r>
    <r>
      <rPr>
        <rFont val="&quot;IBM Plex Sans&quot;, sans-serif"/>
        <sz val="12.0"/>
      </rPr>
      <t xml:space="preserve"> (8-12)
</t>
    </r>
    <r>
      <rPr>
        <rFont val="&quot;IBM Plex Sans&quot;, sans-serif"/>
        <color rgb="FF1155CC"/>
        <sz val="12.0"/>
        <u/>
      </rPr>
      <t>San Diego Toreros</t>
    </r>
    <r>
      <rPr>
        <rFont val="&quot;IBM Plex Sans&quot;, sans-serif"/>
        <sz val="12.0"/>
      </rPr>
      <t xml:space="preserve"> (8-12)</t>
    </r>
  </si>
  <si>
    <t>65.6%
34.4%</t>
  </si>
  <si>
    <t>-3-109
+3-109</t>
  </si>
  <si>
    <t>79.4
74.4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</si>
  <si>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</si>
  <si>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Tech Trailblazers</t>
    </r>
    <r>
      <rPr>
        <rFont val="&quot;IBM Plex Sans&quot;, sans-serif"/>
        <sz val="12.0"/>
      </rPr>
      <t xml:space="preserve"> (10-10)
</t>
    </r>
    <r>
      <rPr>
        <rFont val="&quot;IBM Plex Sans&quot;, sans-serif"/>
        <color rgb="FF1155CC"/>
        <sz val="12.0"/>
        <u/>
      </rPr>
      <t>California Baptist Lancers</t>
    </r>
    <r>
      <rPr>
        <rFont val="&quot;IBM Plex Sans&quot;, sans-serif"/>
        <sz val="12.0"/>
      </rPr>
      <t xml:space="preserve"> (13-6)</t>
    </r>
  </si>
  <si>
    <t>19.8%
80.2%</t>
  </si>
  <si>
    <t>69.0
78.0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</si>
  <si>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</si>
  <si>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Loyola Marymount Lions</t>
    </r>
    <r>
      <rPr>
        <rFont val="&quot;IBM Plex Sans&quot;, sans-serif"/>
        <sz val="12.0"/>
      </rPr>
      <t xml:space="preserve"> (11-10)
</t>
    </r>
    <r>
      <rPr>
        <rFont val="&quot;IBM Plex Sans&quot;, sans-serif"/>
        <color rgb="FF1155CC"/>
        <sz val="12.0"/>
        <u/>
      </rPr>
      <t>Seattle Redhawks</t>
    </r>
    <r>
      <rPr>
        <rFont val="&quot;IBM Plex Sans&quot;, sans-serif"/>
        <sz val="12.0"/>
      </rPr>
      <t xml:space="preserve"> (13-7)</t>
    </r>
  </si>
  <si>
    <t>28.9%
71.1%</t>
  </si>
  <si>
    <t>68.4
74.8</t>
  </si>
  <si>
    <t>o137-110
u138½-110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</si>
  <si>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11:00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</si>
  <si>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Diego State Aztecs</t>
    </r>
    <r>
      <rPr>
        <rFont val="&quot;IBM Plex Sans&quot;, sans-serif"/>
        <sz val="12.0"/>
      </rPr>
      <t xml:space="preserve"> (13-4)
</t>
    </r>
    <r>
      <rPr>
        <rFont val="&quot;IBM Plex Sans&quot;, sans-serif"/>
        <color rgb="FF1155CC"/>
        <sz val="12.0"/>
        <u/>
      </rPr>
      <t>Grand Canyon Antelopes</t>
    </r>
    <r>
      <rPr>
        <rFont val="&quot;IBM Plex Sans&quot;, sans-serif"/>
        <sz val="12.0"/>
      </rPr>
      <t xml:space="preserve"> (11-6)</t>
    </r>
  </si>
  <si>
    <t>55.9%
44.1%</t>
  </si>
  <si>
    <t>74.4
72.1</t>
  </si>
  <si>
    <t>o143½-110
u143½-110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</si>
  <si>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11:00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</si>
  <si>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Oregon State Beavers</t>
    </r>
    <r>
      <rPr>
        <rFont val="&quot;IBM Plex Sans&quot;, sans-serif"/>
        <sz val="12.0"/>
      </rPr>
      <t xml:space="preserve"> (10-11)
</t>
    </r>
    <r>
      <rPr>
        <rFont val="&quot;IBM Plex Sans&quot;, sans-serif"/>
        <color rgb="FF1155CC"/>
        <sz val="12.0"/>
        <u/>
      </rPr>
      <t>Saint Mary's College Gaels</t>
    </r>
    <r>
      <rPr>
        <rFont val="&quot;IBM Plex Sans&quot;, sans-serif"/>
        <sz val="12.0"/>
      </rPr>
      <t xml:space="preserve"> (17-3)</t>
    </r>
  </si>
  <si>
    <t>5.9%
94.1%</t>
  </si>
  <si>
    <t>61.8
78.0</t>
  </si>
  <si>
    <t>o141½-110
u142-110</t>
  </si>
  <si>
    <r>
      <rPr>
        <rFont val="&quot;IBM Plex Mono&quot;, monospace"/>
        <color rgb="FF1155CC"/>
        <u/>
      </rPr>
      <t>01/21/2026</t>
    </r>
    <r>
      <rPr>
        <rFont val="&quot;IBM Plex Mono&quot;, monospace"/>
        <color rgb="FF1155CC"/>
        <u/>
      </rPr>
      <t xml:space="preserve">
11:00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</si>
  <si>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Northwestern Wildcats</t>
    </r>
    <r>
      <rPr>
        <rFont val="&quot;IBM Plex Sans&quot;, sans-serif"/>
        <sz val="12.0"/>
      </rPr>
      <t xml:space="preserve"> (8-10)
</t>
    </r>
    <r>
      <rPr>
        <rFont val="&quot;IBM Plex Sans&quot;, sans-serif"/>
        <color rgb="FF1155CC"/>
        <sz val="12.0"/>
        <u/>
      </rPr>
      <t>USC Trojans</t>
    </r>
    <r>
      <rPr>
        <rFont val="&quot;IBM Plex Sans&quot;, sans-serif"/>
        <sz val="12.0"/>
      </rPr>
      <t xml:space="preserve"> (14-4)</t>
    </r>
  </si>
  <si>
    <t>19.6%
80.4%</t>
  </si>
  <si>
    <t>72.4
81.6</t>
  </si>
  <si>
    <t>o153-110
u153½-110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</si>
</sst>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0" fillId="2" fontId="5" numFmtId="0" xfId="0" applyAlignment="1" applyFont="1">
      <alignment horizontal="center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0" fillId="3" fontId="5" numFmtId="0" xfId="0" applyAlignment="1" applyFont="1">
      <alignment horizontal="center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020-pitt-panthers" TargetMode="External"/><Relationship Id="rId42" Type="http://schemas.openxmlformats.org/officeDocument/2006/relationships/hyperlink" Target="https://www.dratings.com/teams/ncaa-college-basketball-ratings/3072-indiana-state-sycamores" TargetMode="External"/><Relationship Id="rId41" Type="http://schemas.openxmlformats.org/officeDocument/2006/relationships/hyperlink" Target="https://www.dratings.com/predictor/ncaa-basketball-predictions/bf3039b4-b71b-50a0-9149-f79b6e1170dd" TargetMode="External"/><Relationship Id="rId44" Type="http://schemas.openxmlformats.org/officeDocument/2006/relationships/hyperlink" Target="https://www.dratings.com/teams/ncaa-college-basketball-ratings/3059-murray-state-racers" TargetMode="External"/><Relationship Id="rId43" Type="http://schemas.openxmlformats.org/officeDocument/2006/relationships/hyperlink" Target="https://www.dratings.com/predictor/ncaa-basketball-predictions/33881b1e-37b2-5535-8908-ea32f158d6aa" TargetMode="External"/><Relationship Id="rId46" Type="http://schemas.openxmlformats.org/officeDocument/2006/relationships/hyperlink" Target="https://www.dratings.com/teams/ncaa-college-basketball-ratings/3352-north-alabama-lions" TargetMode="External"/><Relationship Id="rId45" Type="http://schemas.openxmlformats.org/officeDocument/2006/relationships/hyperlink" Target="https://www.dratings.com/predictor/ncaa-basketball-predictions/6505e921-614e-53eb-9c23-281e248bdbca" TargetMode="External"/><Relationship Id="rId107" Type="http://schemas.openxmlformats.org/officeDocument/2006/relationships/hyperlink" Target="https://www.dratings.com/predictor/ncaa-basketball-predictions/d0e5ab3a-5ef5-542c-9ae5-045647538760" TargetMode="External"/><Relationship Id="rId106" Type="http://schemas.openxmlformats.org/officeDocument/2006/relationships/hyperlink" Target="https://www.dratings.com/teams/ncaa-college-basketball-ratings/3104-oregon-state-beavers" TargetMode="External"/><Relationship Id="rId105" Type="http://schemas.openxmlformats.org/officeDocument/2006/relationships/hyperlink" Target="https://www.dratings.com/predictor/ncaa-basketball-predictions/6fab06a8-55c0-5ed6-a8a0-809ec937e688" TargetMode="External"/><Relationship Id="rId104" Type="http://schemas.openxmlformats.org/officeDocument/2006/relationships/hyperlink" Target="https://www.dratings.com/teams/ncaa-college-basketball-ratings/3028-san-diego-state-aztecs" TargetMode="External"/><Relationship Id="rId109" Type="http://schemas.openxmlformats.org/officeDocument/2006/relationships/drawing" Target="../drawings/drawing1.xml"/><Relationship Id="rId108" Type="http://schemas.openxmlformats.org/officeDocument/2006/relationships/hyperlink" Target="https://www.dratings.com/teams/ncaa-college-basketball-ratings/3074-northwestern-wildcats" TargetMode="External"/><Relationship Id="rId48" Type="http://schemas.openxmlformats.org/officeDocument/2006/relationships/hyperlink" Target="https://www.dratings.com/teams/ncaa-college-basketball-ratings/3212-holy-cross-crusaders" TargetMode="External"/><Relationship Id="rId47" Type="http://schemas.openxmlformats.org/officeDocument/2006/relationships/hyperlink" Target="https://www.dratings.com/predictor/ncaa-basketball-predictions/b43bc069-2d0b-54be-844c-514ad899a8fa" TargetMode="External"/><Relationship Id="rId49" Type="http://schemas.openxmlformats.org/officeDocument/2006/relationships/hyperlink" Target="https://www.dratings.com/predictor/ncaa-basketball-predictions/22920845-0e86-5887-b86d-363082deb497" TargetMode="External"/><Relationship Id="rId103" Type="http://schemas.openxmlformats.org/officeDocument/2006/relationships/hyperlink" Target="https://www.dratings.com/predictor/ncaa-basketball-predictions/13c2dd4f-47cf-5c2f-b12e-d2fe5447f996" TargetMode="External"/><Relationship Id="rId102" Type="http://schemas.openxmlformats.org/officeDocument/2006/relationships/hyperlink" Target="https://www.dratings.com/teams/ncaa-college-basketball-ratings/3187-loyola-marymount-lions" TargetMode="External"/><Relationship Id="rId101" Type="http://schemas.openxmlformats.org/officeDocument/2006/relationships/hyperlink" Target="https://www.dratings.com/predictor/ncaa-basketball-predictions/67a57246-58a0-5dac-a919-a2007593331e" TargetMode="External"/><Relationship Id="rId100" Type="http://schemas.openxmlformats.org/officeDocument/2006/relationships/hyperlink" Target="https://www.dratings.com/teams/ncaa-college-basketball-ratings/3357-utah-tech-trailblazers" TargetMode="External"/><Relationship Id="rId31" Type="http://schemas.openxmlformats.org/officeDocument/2006/relationships/hyperlink" Target="https://www.dratings.com/predictor/ncaa-basketball-predictions/19c10200-8c31-5bdc-9078-67a239d39fb0" TargetMode="External"/><Relationship Id="rId30" Type="http://schemas.openxmlformats.org/officeDocument/2006/relationships/hyperlink" Target="https://www.dratings.com/teams/ncaa-college-basketball-ratings/3027-notre-dame-fighting-irish" TargetMode="External"/><Relationship Id="rId33" Type="http://schemas.openxmlformats.org/officeDocument/2006/relationships/hyperlink" Target="https://www.dratings.com/predictor/ncaa-basketball-predictions/8200600d-c9a4-575d-a4d2-f2346fd6e438" TargetMode="External"/><Relationship Id="rId32" Type="http://schemas.openxmlformats.org/officeDocument/2006/relationships/hyperlink" Target="https://www.dratings.com/teams/ncaa-college-basketball-ratings/3214-charleston-southern-buccaneers" TargetMode="External"/><Relationship Id="rId35" Type="http://schemas.openxmlformats.org/officeDocument/2006/relationships/hyperlink" Target="https://www.dratings.com/predictor/ncaa-basketball-predictions/0e78606a-da07-5883-bdec-5bfca53e1293" TargetMode="External"/><Relationship Id="rId34" Type="http://schemas.openxmlformats.org/officeDocument/2006/relationships/hyperlink" Target="https://www.dratings.com/teams/ncaa-college-basketball-ratings/3317-etsu-buccaneers" TargetMode="External"/><Relationship Id="rId37" Type="http://schemas.openxmlformats.org/officeDocument/2006/relationships/hyperlink" Target="https://www.dratings.com/predictor/ncaa-basketball-predictions/89f3dcc5-3a97-5c99-9f44-d6ca193170f9" TargetMode="External"/><Relationship Id="rId36" Type="http://schemas.openxmlformats.org/officeDocument/2006/relationships/hyperlink" Target="https://www.dratings.com/teams/ncaa-college-basketball-ratings/3189-rhode-island-rams" TargetMode="External"/><Relationship Id="rId39" Type="http://schemas.openxmlformats.org/officeDocument/2006/relationships/hyperlink" Target="https://www.dratings.com/predictor/ncaa-basketball-predictions/2c8ab09e-84d6-575a-9927-4765d799b016" TargetMode="External"/><Relationship Id="rId38" Type="http://schemas.openxmlformats.org/officeDocument/2006/relationships/hyperlink" Target="https://www.dratings.com/teams/ncaa-college-basketball-ratings/3208-army-black-knights" TargetMode="External"/><Relationship Id="rId20" Type="http://schemas.openxmlformats.org/officeDocument/2006/relationships/hyperlink" Target="https://www.dratings.com/teams/ncaa-college-basketball-ratings/3084-texas-longhorns" TargetMode="External"/><Relationship Id="rId22" Type="http://schemas.openxmlformats.org/officeDocument/2006/relationships/hyperlink" Target="https://www.dratings.com/teams/ncaa-college-basketball-ratings/3270-ipfw-mastodons" TargetMode="External"/><Relationship Id="rId21" Type="http://schemas.openxmlformats.org/officeDocument/2006/relationships/hyperlink" Target="https://www.dratings.com/predictor/ncaa-basketball-predictions/3dc02731-7227-583d-979d-ac2b0916409e" TargetMode="External"/><Relationship Id="rId24" Type="http://schemas.openxmlformats.org/officeDocument/2006/relationships/hyperlink" Target="https://www.dratings.com/teams/ncaa-college-basketball-ratings/3271-fordham-rams" TargetMode="External"/><Relationship Id="rId23" Type="http://schemas.openxmlformats.org/officeDocument/2006/relationships/hyperlink" Target="https://www.dratings.com/predictor/ncaa-basketball-predictions/cbc14460-c4e6-593b-a953-6fcc31e43c49" TargetMode="External"/><Relationship Id="rId26" Type="http://schemas.openxmlformats.org/officeDocument/2006/relationships/hyperlink" Target="https://www.dratings.com/teams/ncaa-college-basketball-ratings/3114-tulane-green-wave" TargetMode="External"/><Relationship Id="rId25" Type="http://schemas.openxmlformats.org/officeDocument/2006/relationships/hyperlink" Target="https://www.dratings.com/predictor/ncaa-basketball-predictions/10107964-cbdf-52e5-b854-2ec7c27e7e27" TargetMode="External"/><Relationship Id="rId28" Type="http://schemas.openxmlformats.org/officeDocument/2006/relationships/hyperlink" Target="https://www.dratings.com/teams/ncaa-college-basketball-ratings/3029-georgetown-hoyas" TargetMode="External"/><Relationship Id="rId27" Type="http://schemas.openxmlformats.org/officeDocument/2006/relationships/hyperlink" Target="https://www.dratings.com/predictor/ncaa-basketball-predictions/c05c4904-575b-5d99-9aff-bd23a6b0bc84" TargetMode="External"/><Relationship Id="rId29" Type="http://schemas.openxmlformats.org/officeDocument/2006/relationships/hyperlink" Target="https://www.dratings.com/predictor/ncaa-basketball-predictions/dc64ee3a-9e13-5335-850b-19a718059c82" TargetMode="External"/><Relationship Id="rId95" Type="http://schemas.openxmlformats.org/officeDocument/2006/relationships/hyperlink" Target="https://www.dratings.com/predictor/ncaa-basketball-predictions/8c305df1-a717-5eb8-9b26-f24e54e0dd5e" TargetMode="External"/><Relationship Id="rId94" Type="http://schemas.openxmlformats.org/officeDocument/2006/relationships/hyperlink" Target="https://www.dratings.com/teams/ncaa-college-basketball-ratings/3012-cincinnati-bearcats" TargetMode="External"/><Relationship Id="rId97" Type="http://schemas.openxmlformats.org/officeDocument/2006/relationships/hyperlink" Target="https://www.dratings.com/predictor/ncaa-basketball-predictions/a184258f-74c9-58ba-9854-03fdcb8d4b40" TargetMode="External"/><Relationship Id="rId96" Type="http://schemas.openxmlformats.org/officeDocument/2006/relationships/hyperlink" Target="https://www.dratings.com/teams/ncaa-college-basketball-ratings/3180-pepperdine-waves" TargetMode="External"/><Relationship Id="rId11" Type="http://schemas.openxmlformats.org/officeDocument/2006/relationships/hyperlink" Target="https://www.dratings.com/predictor/ncaa-basketball-predictions/c8e6fa72-562c-532d-b29c-e9499221f49e" TargetMode="External"/><Relationship Id="rId99" Type="http://schemas.openxmlformats.org/officeDocument/2006/relationships/hyperlink" Target="https://www.dratings.com/predictor/ncaa-basketball-predictions/9673b7a4-6290-510c-ae28-d4c45b25cb0c" TargetMode="External"/><Relationship Id="rId10" Type="http://schemas.openxmlformats.org/officeDocument/2006/relationships/hyperlink" Target="https://www.dratings.com/teams/ncaa-college-basketball-ratings/3274-radford-highlanders" TargetMode="External"/><Relationship Id="rId98" Type="http://schemas.openxmlformats.org/officeDocument/2006/relationships/hyperlink" Target="https://www.dratings.com/teams/ncaa-college-basketball-ratings/3092-washington-state-cougars" TargetMode="External"/><Relationship Id="rId13" Type="http://schemas.openxmlformats.org/officeDocument/2006/relationships/hyperlink" Target="https://www.dratings.com/predictor/ncaa-basketball-predictions/5231ffe5-1759-5671-a5fd-d9239abebd1e" TargetMode="External"/><Relationship Id="rId12" Type="http://schemas.openxmlformats.org/officeDocument/2006/relationships/hyperlink" Target="https://www.dratings.com/teams/ncaa-college-basketball-ratings/3064-dayton-flyers" TargetMode="External"/><Relationship Id="rId91" Type="http://schemas.openxmlformats.org/officeDocument/2006/relationships/hyperlink" Target="https://www.dratings.com/predictor/ncaa-basketball-predictions/95c4cca5-7259-5f96-ac6f-46cb5abd9c8a" TargetMode="External"/><Relationship Id="rId90" Type="http://schemas.openxmlformats.org/officeDocument/2006/relationships/hyperlink" Target="https://www.dratings.com/teams/ncaa-college-basketball-ratings/3188-fresno-state-bulldogs" TargetMode="External"/><Relationship Id="rId93" Type="http://schemas.openxmlformats.org/officeDocument/2006/relationships/hyperlink" Target="https://www.dratings.com/predictor/ncaa-basketball-predictions/85363a2c-7f72-5779-b7a3-7427536179d8" TargetMode="External"/><Relationship Id="rId92" Type="http://schemas.openxmlformats.org/officeDocument/2006/relationships/hyperlink" Target="https://www.dratings.com/teams/ncaa-college-basketball-ratings/3249-mississippi-state-bulldogs" TargetMode="External"/><Relationship Id="rId15" Type="http://schemas.openxmlformats.org/officeDocument/2006/relationships/hyperlink" Target="https://www.dratings.com/predictor/ncaa-basketball-predictions/abcc6f66-a85f-52a7-8fb2-e03c70ef47d8" TargetMode="External"/><Relationship Id="rId14" Type="http://schemas.openxmlformats.org/officeDocument/2006/relationships/hyperlink" Target="https://www.dratings.com/teams/ncaa-college-basketball-ratings/3088-xavier-musketeers" TargetMode="External"/><Relationship Id="rId17" Type="http://schemas.openxmlformats.org/officeDocument/2006/relationships/hyperlink" Target="https://www.dratings.com/predictor/ncaa-basketball-predictions/4f8919b1-6c35-5d71-8ac5-addb8b92bd7b" TargetMode="External"/><Relationship Id="rId16" Type="http://schemas.openxmlformats.org/officeDocument/2006/relationships/hyperlink" Target="https://www.dratings.com/teams/ncaa-college-basketball-ratings/3289-troy-trojans" TargetMode="External"/><Relationship Id="rId19" Type="http://schemas.openxmlformats.org/officeDocument/2006/relationships/hyperlink" Target="https://www.dratings.com/predictor/ncaa-basketball-predictions/f515d84b-d100-5ce4-8069-d50e22576529" TargetMode="External"/><Relationship Id="rId18" Type="http://schemas.openxmlformats.org/officeDocument/2006/relationships/hyperlink" Target="https://www.dratings.com/teams/ncaa-college-basketball-ratings/3272-colgate-raiders" TargetMode="External"/><Relationship Id="rId84" Type="http://schemas.openxmlformats.org/officeDocument/2006/relationships/hyperlink" Target="https://www.dratings.com/teams/ncaa-college-basketball-ratings/3099-virginia-tech-hokies" TargetMode="External"/><Relationship Id="rId83" Type="http://schemas.openxmlformats.org/officeDocument/2006/relationships/hyperlink" Target="https://www.dratings.com/predictor/ncaa-basketball-predictions/0f3a0785-6422-5185-afa9-2bec44c4caa0" TargetMode="External"/><Relationship Id="rId86" Type="http://schemas.openxmlformats.org/officeDocument/2006/relationships/hyperlink" Target="https://www.dratings.com/teams/ncaa-college-basketball-ratings/3093-washington-huskies" TargetMode="External"/><Relationship Id="rId85" Type="http://schemas.openxmlformats.org/officeDocument/2006/relationships/hyperlink" Target="https://www.dratings.com/predictor/ncaa-basketball-predictions/f89bf00f-69a6-51ea-94d7-73b66d10b5d1" TargetMode="External"/><Relationship Id="rId88" Type="http://schemas.openxmlformats.org/officeDocument/2006/relationships/hyperlink" Target="https://www.dratings.com/teams/ncaa-college-basketball-ratings/3102-northern-iowa-panthers" TargetMode="External"/><Relationship Id="rId87" Type="http://schemas.openxmlformats.org/officeDocument/2006/relationships/hyperlink" Target="https://www.dratings.com/predictor/ncaa-basketball-predictions/c6925e3e-983b-5e84-8b31-50ba759dc49f" TargetMode="External"/><Relationship Id="rId89" Type="http://schemas.openxmlformats.org/officeDocument/2006/relationships/hyperlink" Target="https://www.dratings.com/predictor/ncaa-basketball-predictions/409bf5a1-3d74-51ad-9c00-a4eb2e1cd328" TargetMode="External"/><Relationship Id="rId80" Type="http://schemas.openxmlformats.org/officeDocument/2006/relationships/hyperlink" Target="https://www.dratings.com/teams/ncaa-college-basketball-ratings/3279-utah-valley-wolverines" TargetMode="External"/><Relationship Id="rId82" Type="http://schemas.openxmlformats.org/officeDocument/2006/relationships/hyperlink" Target="https://www.dratings.com/teams/ncaa-college-basketball-ratings/3096-west-virginia-mountaineers" TargetMode="External"/><Relationship Id="rId81" Type="http://schemas.openxmlformats.org/officeDocument/2006/relationships/hyperlink" Target="https://www.dratings.com/predictor/ncaa-basketball-predictions/fe59d9ff-3c20-542a-ace9-a455d8c38a4c" TargetMode="External"/><Relationship Id="rId1" Type="http://schemas.openxmlformats.org/officeDocument/2006/relationships/hyperlink" Target="https://www.dratings.com/predictor/ncaa-basketball-predictions/25aa70fa-13d1-56fe-adff-dd4132b9407c" TargetMode="External"/><Relationship Id="rId2" Type="http://schemas.openxmlformats.org/officeDocument/2006/relationships/hyperlink" Target="https://www.dratings.com/teams/ncaa-college-basketball-ratings/3169-unc-asheville-bulldogs" TargetMode="External"/><Relationship Id="rId3" Type="http://schemas.openxmlformats.org/officeDocument/2006/relationships/hyperlink" Target="https://www.dratings.com/predictor/ncaa-basketball-predictions/160a80ab-56bc-5650-b550-6e95ba485126" TargetMode="External"/><Relationship Id="rId4" Type="http://schemas.openxmlformats.org/officeDocument/2006/relationships/hyperlink" Target="https://www.dratings.com/teams/ncaa-college-basketball-ratings/3286-lafayette-leopards" TargetMode="External"/><Relationship Id="rId9" Type="http://schemas.openxmlformats.org/officeDocument/2006/relationships/hyperlink" Target="https://www.dratings.com/predictor/ncaa-basketball-predictions/b4b1b520-d5d6-5378-b31e-3a2856a7d762" TargetMode="External"/><Relationship Id="rId5" Type="http://schemas.openxmlformats.org/officeDocument/2006/relationships/hyperlink" Target="https://www.dratings.com/predictor/ncaa-basketball-predictions/facd9528-c795-5f96-afe5-7132ca66820e" TargetMode="External"/><Relationship Id="rId6" Type="http://schemas.openxmlformats.org/officeDocument/2006/relationships/hyperlink" Target="https://www.dratings.com/teams/ncaa-college-basketball-ratings/3309-unc-greensboro-spartans" TargetMode="External"/><Relationship Id="rId7" Type="http://schemas.openxmlformats.org/officeDocument/2006/relationships/hyperlink" Target="https://www.dratings.com/predictor/ncaa-basketball-predictions/dc2fd231-e860-563a-abd9-11bbb102fdf5" TargetMode="External"/><Relationship Id="rId8" Type="http://schemas.openxmlformats.org/officeDocument/2006/relationships/hyperlink" Target="https://www.dratings.com/teams/ncaa-college-basketball-ratings/3321-samford-bulldogs" TargetMode="External"/><Relationship Id="rId73" Type="http://schemas.openxmlformats.org/officeDocument/2006/relationships/hyperlink" Target="https://www.dratings.com/predictor/ncaa-basketball-predictions/9f4611c7-eaf5-5ceb-87e3-bbe9310e028b" TargetMode="External"/><Relationship Id="rId72" Type="http://schemas.openxmlformats.org/officeDocument/2006/relationships/hyperlink" Target="https://www.dratings.com/teams/ncaa-college-basketball-ratings/3044-temple-owls" TargetMode="External"/><Relationship Id="rId75" Type="http://schemas.openxmlformats.org/officeDocument/2006/relationships/hyperlink" Target="https://www.dratings.com/predictor/ncaa-basketball-predictions/3cdadd75-ec3e-52a9-98c5-666fe96b6fc5" TargetMode="External"/><Relationship Id="rId74" Type="http://schemas.openxmlformats.org/officeDocument/2006/relationships/hyperlink" Target="https://www.dratings.com/teams/ncaa-college-basketball-ratings/3354-tarleton-state-texans" TargetMode="External"/><Relationship Id="rId77" Type="http://schemas.openxmlformats.org/officeDocument/2006/relationships/hyperlink" Target="https://www.dratings.com/predictor/ncaa-basketball-predictions/6d56a6bf-3799-5cbf-867e-d671270e4390" TargetMode="External"/><Relationship Id="rId76" Type="http://schemas.openxmlformats.org/officeDocument/2006/relationships/hyperlink" Target="https://www.dratings.com/teams/ncaa-college-basketball-ratings/3049-memphis-tigers" TargetMode="External"/><Relationship Id="rId79" Type="http://schemas.openxmlformats.org/officeDocument/2006/relationships/hyperlink" Target="https://www.dratings.com/predictor/ncaa-basketball-predictions/d2bb56a5-95f6-58a6-8d8f-fe7bb15d8c69" TargetMode="External"/><Relationship Id="rId78" Type="http://schemas.openxmlformats.org/officeDocument/2006/relationships/hyperlink" Target="https://www.dratings.com/teams/ncaa-college-basketball-ratings/3253-utsa-roadrunners" TargetMode="External"/><Relationship Id="rId71" Type="http://schemas.openxmlformats.org/officeDocument/2006/relationships/hyperlink" Target="https://www.dratings.com/predictor/ncaa-basketball-predictions/4f798d14-4b0f-5421-8b51-bc515b3e1c82" TargetMode="External"/><Relationship Id="rId70" Type="http://schemas.openxmlformats.org/officeDocument/2006/relationships/hyperlink" Target="https://www.dratings.com/teams/ncaa-college-basketball-ratings/3191-southern-illinois-salukis" TargetMode="External"/><Relationship Id="rId62" Type="http://schemas.openxmlformats.org/officeDocument/2006/relationships/hyperlink" Target="https://www.dratings.com/teams/ncaa-college-basketball-ratings/3339-kennesaw-state-owls" TargetMode="External"/><Relationship Id="rId61" Type="http://schemas.openxmlformats.org/officeDocument/2006/relationships/hyperlink" Target="https://www.dratings.com/predictor/ncaa-basketball-predictions/521df6d0-3e64-5df2-a37d-3c36a1241c59" TargetMode="External"/><Relationship Id="rId64" Type="http://schemas.openxmlformats.org/officeDocument/2006/relationships/hyperlink" Target="https://www.dratings.com/teams/ncaa-college-basketball-ratings/3330-liberty-flames" TargetMode="External"/><Relationship Id="rId63" Type="http://schemas.openxmlformats.org/officeDocument/2006/relationships/hyperlink" Target="https://www.dratings.com/predictor/ncaa-basketball-predictions/275dc224-a1ec-5f45-8545-9f8dfcaa45b8" TargetMode="External"/><Relationship Id="rId66" Type="http://schemas.openxmlformats.org/officeDocument/2006/relationships/hyperlink" Target="https://www.dratings.com/teams/ncaa-college-basketball-ratings/3128-east-carolina-pirates" TargetMode="External"/><Relationship Id="rId65" Type="http://schemas.openxmlformats.org/officeDocument/2006/relationships/hyperlink" Target="https://www.dratings.com/predictor/ncaa-basketball-predictions/fa9f891a-f7cc-507d-bc31-993a60184d21" TargetMode="External"/><Relationship Id="rId68" Type="http://schemas.openxmlformats.org/officeDocument/2006/relationships/hyperlink" Target="https://www.dratings.com/teams/ncaa-college-basketball-ratings/3244-south-dakota-coyotes" TargetMode="External"/><Relationship Id="rId67" Type="http://schemas.openxmlformats.org/officeDocument/2006/relationships/hyperlink" Target="https://www.dratings.com/predictor/ncaa-basketball-predictions/e08dbc20-df31-51ac-84e1-e40b099905a8" TargetMode="External"/><Relationship Id="rId60" Type="http://schemas.openxmlformats.org/officeDocument/2006/relationships/hyperlink" Target="https://www.dratings.com/teams/ncaa-college-basketball-ratings/3287-iupui-jaguars" TargetMode="External"/><Relationship Id="rId69" Type="http://schemas.openxmlformats.org/officeDocument/2006/relationships/hyperlink" Target="https://www.dratings.com/predictor/ncaa-basketball-predictions/7001c7b9-dcee-5da8-a879-e2fd323e7103" TargetMode="External"/><Relationship Id="rId51" Type="http://schemas.openxmlformats.org/officeDocument/2006/relationships/hyperlink" Target="https://www.dratings.com/predictor/ncaa-basketball-predictions/fb660da1-de4f-54a7-844b-5e1d403f5981" TargetMode="External"/><Relationship Id="rId50" Type="http://schemas.openxmlformats.org/officeDocument/2006/relationships/hyperlink" Target="https://www.dratings.com/teams/ncaa-college-basketball-ratings/3034-maryland-terrapins" TargetMode="External"/><Relationship Id="rId53" Type="http://schemas.openxmlformats.org/officeDocument/2006/relationships/hyperlink" Target="https://www.dratings.com/predictor/ncaa-basketball-predictions/0d353e35-d385-5e57-b506-5924b9f47b40" TargetMode="External"/><Relationship Id="rId52" Type="http://schemas.openxmlformats.org/officeDocument/2006/relationships/hyperlink" Target="https://www.dratings.com/teams/ncaa-college-basketball-ratings/3239-western-carolina-catamounts" TargetMode="External"/><Relationship Id="rId55" Type="http://schemas.openxmlformats.org/officeDocument/2006/relationships/hyperlink" Target="https://www.dratings.com/predictor/ncaa-basketball-predictions/ef328dbf-808b-576d-8045-96200fde2696" TargetMode="External"/><Relationship Id="rId54" Type="http://schemas.openxmlformats.org/officeDocument/2006/relationships/hyperlink" Target="https://www.dratings.com/teams/ncaa-college-basketball-ratings/3158-gardner-webb-runnin--bulldogs" TargetMode="External"/><Relationship Id="rId57" Type="http://schemas.openxmlformats.org/officeDocument/2006/relationships/hyperlink" Target="https://www.dratings.com/predictor/ncaa-basketball-predictions/30f14c48-1215-524a-bc61-d3fb2fabbfbf" TargetMode="External"/><Relationship Id="rId56" Type="http://schemas.openxmlformats.org/officeDocument/2006/relationships/hyperlink" Target="https://www.dratings.com/teams/ncaa-college-basketball-ratings/3343-furman-paladins" TargetMode="External"/><Relationship Id="rId59" Type="http://schemas.openxmlformats.org/officeDocument/2006/relationships/hyperlink" Target="https://www.dratings.com/predictor/ncaa-basketball-predictions/738af695-3511-53ef-b863-772458f7b804" TargetMode="External"/><Relationship Id="rId58" Type="http://schemas.openxmlformats.org/officeDocument/2006/relationships/hyperlink" Target="https://www.dratings.com/teams/ncaa-college-basketball-ratings/3194-cleveland-state-vik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4" t="s">
        <v>10</v>
      </c>
      <c r="D2" s="5"/>
      <c r="E2" s="5"/>
      <c r="F2" s="6" t="s">
        <v>11</v>
      </c>
      <c r="G2" s="7">
        <v>154.2</v>
      </c>
      <c r="H2" s="5"/>
    </row>
    <row r="3">
      <c r="A3" s="2" t="s">
        <v>12</v>
      </c>
      <c r="B3" s="3" t="s">
        <v>13</v>
      </c>
      <c r="C3" s="8" t="s">
        <v>14</v>
      </c>
      <c r="D3" s="9"/>
      <c r="E3" s="9"/>
      <c r="F3" s="10" t="s">
        <v>15</v>
      </c>
      <c r="G3" s="11">
        <v>138.3</v>
      </c>
      <c r="H3" s="9"/>
    </row>
    <row r="4">
      <c r="A4" s="2" t="s">
        <v>16</v>
      </c>
      <c r="B4" s="3" t="s">
        <v>17</v>
      </c>
      <c r="C4" s="4" t="s">
        <v>18</v>
      </c>
      <c r="D4" s="5"/>
      <c r="E4" s="7" t="s">
        <v>19</v>
      </c>
      <c r="F4" s="6" t="s">
        <v>20</v>
      </c>
      <c r="G4" s="7">
        <v>151.0</v>
      </c>
      <c r="H4" s="7" t="s">
        <v>21</v>
      </c>
    </row>
    <row r="5">
      <c r="A5" s="2" t="s">
        <v>22</v>
      </c>
      <c r="B5" s="3" t="s">
        <v>23</v>
      </c>
      <c r="C5" s="8" t="s">
        <v>24</v>
      </c>
      <c r="D5" s="9"/>
      <c r="E5" s="9" t="str">
        <f>+4½-109
-4½-109</f>
        <v>#ERROR!</v>
      </c>
      <c r="F5" s="10" t="s">
        <v>25</v>
      </c>
      <c r="G5" s="11">
        <v>156.1</v>
      </c>
      <c r="H5" s="11" t="s">
        <v>26</v>
      </c>
    </row>
    <row r="6">
      <c r="A6" s="2" t="s">
        <v>27</v>
      </c>
      <c r="B6" s="3" t="s">
        <v>28</v>
      </c>
      <c r="C6" s="12" t="s">
        <v>29</v>
      </c>
      <c r="D6" s="5"/>
      <c r="E6" s="5"/>
      <c r="F6" s="6" t="s">
        <v>30</v>
      </c>
      <c r="G6" s="7">
        <v>166.8</v>
      </c>
      <c r="H6" s="5"/>
    </row>
    <row r="7">
      <c r="A7" s="2" t="s">
        <v>31</v>
      </c>
      <c r="B7" s="3" t="s">
        <v>32</v>
      </c>
      <c r="C7" s="13" t="s">
        <v>33</v>
      </c>
      <c r="D7" s="9"/>
      <c r="E7" s="11" t="s">
        <v>34</v>
      </c>
      <c r="F7" s="10" t="s">
        <v>35</v>
      </c>
      <c r="G7" s="11">
        <v>144.9</v>
      </c>
      <c r="H7" s="11" t="s">
        <v>36</v>
      </c>
    </row>
    <row r="8">
      <c r="A8" s="2" t="s">
        <v>37</v>
      </c>
      <c r="B8" s="3" t="s">
        <v>38</v>
      </c>
      <c r="C8" s="12" t="s">
        <v>39</v>
      </c>
      <c r="D8" s="5"/>
      <c r="E8" s="5">
        <f>+7-109
-7-109</f>
        <v>-218</v>
      </c>
      <c r="F8" s="6" t="s">
        <v>40</v>
      </c>
      <c r="G8" s="7">
        <v>154.6</v>
      </c>
      <c r="H8" s="7" t="s">
        <v>41</v>
      </c>
    </row>
    <row r="9">
      <c r="A9" s="2" t="s">
        <v>42</v>
      </c>
      <c r="B9" s="3" t="s">
        <v>43</v>
      </c>
      <c r="C9" s="13" t="s">
        <v>44</v>
      </c>
      <c r="D9" s="9"/>
      <c r="E9" s="11" t="s">
        <v>45</v>
      </c>
      <c r="F9" s="10" t="s">
        <v>46</v>
      </c>
      <c r="G9" s="11">
        <v>152.2</v>
      </c>
      <c r="H9" s="11" t="s">
        <v>47</v>
      </c>
    </row>
    <row r="10">
      <c r="A10" s="2" t="s">
        <v>48</v>
      </c>
      <c r="B10" s="3" t="s">
        <v>49</v>
      </c>
      <c r="C10" s="4" t="s">
        <v>50</v>
      </c>
      <c r="D10" s="5"/>
      <c r="E10" s="5"/>
      <c r="F10" s="6" t="s">
        <v>51</v>
      </c>
      <c r="G10" s="7">
        <v>143.8</v>
      </c>
      <c r="H10" s="5"/>
    </row>
    <row r="11">
      <c r="A11" s="2" t="s">
        <v>52</v>
      </c>
      <c r="B11" s="3" t="s">
        <v>53</v>
      </c>
      <c r="C11" s="8" t="s">
        <v>54</v>
      </c>
      <c r="D11" s="9"/>
      <c r="E11" s="9">
        <f>+7-109
-7-109</f>
        <v>-218</v>
      </c>
      <c r="F11" s="10" t="s">
        <v>55</v>
      </c>
      <c r="G11" s="11">
        <v>162.7</v>
      </c>
      <c r="H11" s="11" t="s">
        <v>56</v>
      </c>
    </row>
    <row r="12">
      <c r="A12" s="2" t="s">
        <v>57</v>
      </c>
      <c r="B12" s="3" t="s">
        <v>58</v>
      </c>
      <c r="C12" s="4" t="s">
        <v>59</v>
      </c>
      <c r="D12" s="5"/>
      <c r="E12" s="7" t="s">
        <v>19</v>
      </c>
      <c r="F12" s="6" t="s">
        <v>60</v>
      </c>
      <c r="G12" s="7">
        <v>159.1</v>
      </c>
      <c r="H12" s="7" t="s">
        <v>41</v>
      </c>
    </row>
    <row r="13">
      <c r="A13" s="2" t="s">
        <v>61</v>
      </c>
      <c r="B13" s="3" t="s">
        <v>62</v>
      </c>
      <c r="C13" s="8" t="s">
        <v>29</v>
      </c>
      <c r="D13" s="9"/>
      <c r="E13" s="9" t="str">
        <f>+5-109
-4½-110</f>
        <v>#ERROR!</v>
      </c>
      <c r="F13" s="10" t="s">
        <v>63</v>
      </c>
      <c r="G13" s="11">
        <v>139.6</v>
      </c>
      <c r="H13" s="11" t="s">
        <v>64</v>
      </c>
    </row>
    <row r="14">
      <c r="A14" s="2" t="s">
        <v>65</v>
      </c>
      <c r="B14" s="3" t="s">
        <v>66</v>
      </c>
      <c r="C14" s="12" t="s">
        <v>67</v>
      </c>
      <c r="D14" s="5"/>
      <c r="E14" s="5">
        <f>+10-109
-10-109</f>
        <v>-218</v>
      </c>
      <c r="F14" s="6" t="s">
        <v>68</v>
      </c>
      <c r="G14" s="7">
        <v>150.9</v>
      </c>
      <c r="H14" s="7" t="s">
        <v>69</v>
      </c>
    </row>
    <row r="15">
      <c r="A15" s="2" t="s">
        <v>70</v>
      </c>
      <c r="B15" s="3" t="s">
        <v>71</v>
      </c>
      <c r="C15" s="8" t="s">
        <v>72</v>
      </c>
      <c r="D15" s="9"/>
      <c r="E15" s="9" t="str">
        <f>+9½-109
-9½-109</f>
        <v>#ERROR!</v>
      </c>
      <c r="F15" s="10" t="s">
        <v>73</v>
      </c>
      <c r="G15" s="11">
        <v>149.0</v>
      </c>
      <c r="H15" s="11" t="s">
        <v>74</v>
      </c>
    </row>
    <row r="16">
      <c r="A16" s="2" t="s">
        <v>75</v>
      </c>
      <c r="B16" s="3" t="s">
        <v>76</v>
      </c>
      <c r="C16" s="12" t="s">
        <v>77</v>
      </c>
      <c r="D16" s="5"/>
      <c r="E16" s="5" t="str">
        <f>+11½-109
-11-110</f>
        <v>#ERROR!</v>
      </c>
      <c r="F16" s="6" t="s">
        <v>78</v>
      </c>
      <c r="G16" s="7">
        <v>149.3</v>
      </c>
      <c r="H16" s="7" t="s">
        <v>79</v>
      </c>
    </row>
    <row r="17">
      <c r="A17" s="2" t="s">
        <v>80</v>
      </c>
      <c r="B17" s="3" t="s">
        <v>81</v>
      </c>
      <c r="C17" s="13" t="s">
        <v>82</v>
      </c>
      <c r="D17" s="9"/>
      <c r="E17" s="9"/>
      <c r="F17" s="10" t="s">
        <v>83</v>
      </c>
      <c r="G17" s="11">
        <v>148.9</v>
      </c>
      <c r="H17" s="9"/>
    </row>
    <row r="18">
      <c r="A18" s="2" t="s">
        <v>84</v>
      </c>
      <c r="B18" s="3" t="s">
        <v>85</v>
      </c>
      <c r="C18" s="4" t="s">
        <v>86</v>
      </c>
      <c r="D18" s="5"/>
      <c r="E18" s="7" t="s">
        <v>87</v>
      </c>
      <c r="F18" s="6" t="s">
        <v>88</v>
      </c>
      <c r="G18" s="7">
        <v>147.3</v>
      </c>
      <c r="H18" s="7" t="s">
        <v>89</v>
      </c>
    </row>
    <row r="19">
      <c r="A19" s="2" t="s">
        <v>90</v>
      </c>
      <c r="B19" s="3" t="s">
        <v>91</v>
      </c>
      <c r="C19" s="8" t="s">
        <v>92</v>
      </c>
      <c r="D19" s="9"/>
      <c r="E19" s="9" t="str">
        <f>+3-110
-2½-109</f>
        <v>#ERROR!</v>
      </c>
      <c r="F19" s="10" t="s">
        <v>93</v>
      </c>
      <c r="G19" s="11">
        <v>148.3</v>
      </c>
      <c r="H19" s="11" t="s">
        <v>94</v>
      </c>
    </row>
    <row r="20">
      <c r="A20" s="2" t="s">
        <v>95</v>
      </c>
      <c r="B20" s="3" t="s">
        <v>96</v>
      </c>
      <c r="C20" s="12" t="s">
        <v>97</v>
      </c>
      <c r="D20" s="5"/>
      <c r="E20" s="5"/>
      <c r="F20" s="6" t="s">
        <v>98</v>
      </c>
      <c r="G20" s="7">
        <v>143.5</v>
      </c>
      <c r="H20" s="5"/>
    </row>
    <row r="21">
      <c r="A21" s="2" t="s">
        <v>99</v>
      </c>
      <c r="B21" s="3" t="s">
        <v>100</v>
      </c>
      <c r="C21" s="13" t="s">
        <v>101</v>
      </c>
      <c r="D21" s="9"/>
      <c r="E21" s="11" t="s">
        <v>102</v>
      </c>
      <c r="F21" s="10" t="s">
        <v>103</v>
      </c>
      <c r="G21" s="11">
        <v>140.5</v>
      </c>
      <c r="H21" s="11" t="s">
        <v>104</v>
      </c>
    </row>
    <row r="22">
      <c r="A22" s="2" t="s">
        <v>105</v>
      </c>
      <c r="B22" s="3" t="s">
        <v>106</v>
      </c>
      <c r="C22" s="12" t="s">
        <v>107</v>
      </c>
      <c r="D22" s="5"/>
      <c r="E22" s="5">
        <f>+9-109
-9-109</f>
        <v>-218</v>
      </c>
      <c r="F22" s="6" t="s">
        <v>108</v>
      </c>
      <c r="G22" s="7">
        <v>152.1</v>
      </c>
      <c r="H22" s="7" t="s">
        <v>109</v>
      </c>
    </row>
    <row r="23">
      <c r="A23" s="2" t="s">
        <v>110</v>
      </c>
      <c r="B23" s="3" t="s">
        <v>111</v>
      </c>
      <c r="C23" s="13" t="s">
        <v>112</v>
      </c>
      <c r="D23" s="9"/>
      <c r="E23" s="11" t="s">
        <v>113</v>
      </c>
      <c r="F23" s="10" t="s">
        <v>114</v>
      </c>
      <c r="G23" s="11">
        <v>153.2</v>
      </c>
      <c r="H23" s="11" t="s">
        <v>115</v>
      </c>
    </row>
    <row r="24">
      <c r="A24" s="2" t="s">
        <v>116</v>
      </c>
      <c r="B24" s="3" t="s">
        <v>117</v>
      </c>
      <c r="C24" s="12" t="s">
        <v>118</v>
      </c>
      <c r="D24" s="5"/>
      <c r="E24" s="5"/>
      <c r="F24" s="6" t="s">
        <v>119</v>
      </c>
      <c r="G24" s="7">
        <v>158.7</v>
      </c>
      <c r="H24" s="5"/>
    </row>
    <row r="25">
      <c r="A25" s="2" t="s">
        <v>120</v>
      </c>
      <c r="B25" s="3" t="s">
        <v>121</v>
      </c>
      <c r="C25" s="8" t="s">
        <v>72</v>
      </c>
      <c r="D25" s="9"/>
      <c r="E25" s="9"/>
      <c r="F25" s="10" t="s">
        <v>122</v>
      </c>
      <c r="G25" s="11">
        <v>136.6</v>
      </c>
      <c r="H25" s="9"/>
    </row>
    <row r="26">
      <c r="A26" s="2" t="s">
        <v>123</v>
      </c>
      <c r="B26" s="3" t="s">
        <v>124</v>
      </c>
      <c r="C26" s="12" t="s">
        <v>125</v>
      </c>
      <c r="D26" s="5"/>
      <c r="E26" s="5" t="str">
        <f>+19½-109
-19-110</f>
        <v>#ERROR!</v>
      </c>
      <c r="F26" s="6" t="s">
        <v>126</v>
      </c>
      <c r="G26" s="7">
        <v>157.0</v>
      </c>
      <c r="H26" s="7" t="s">
        <v>127</v>
      </c>
    </row>
    <row r="27">
      <c r="A27" s="2" t="s">
        <v>128</v>
      </c>
      <c r="B27" s="3" t="s">
        <v>129</v>
      </c>
      <c r="C27" s="8" t="s">
        <v>130</v>
      </c>
      <c r="D27" s="9"/>
      <c r="E27" s="9" t="str">
        <f>+10½-110
-9½-109</f>
        <v>#ERROR!</v>
      </c>
      <c r="F27" s="10" t="s">
        <v>131</v>
      </c>
      <c r="G27" s="11">
        <v>158.2</v>
      </c>
      <c r="H27" s="11" t="s">
        <v>132</v>
      </c>
    </row>
    <row r="28">
      <c r="A28" s="2" t="s">
        <v>133</v>
      </c>
      <c r="B28" s="3" t="s">
        <v>134</v>
      </c>
      <c r="C28" s="12" t="s">
        <v>135</v>
      </c>
      <c r="D28" s="5"/>
      <c r="E28" s="5"/>
      <c r="F28" s="6" t="s">
        <v>136</v>
      </c>
      <c r="G28" s="7">
        <v>156.1</v>
      </c>
      <c r="H28" s="5"/>
    </row>
    <row r="29">
      <c r="A29" s="2" t="s">
        <v>137</v>
      </c>
      <c r="B29" s="3" t="s">
        <v>138</v>
      </c>
      <c r="C29" s="13" t="s">
        <v>139</v>
      </c>
      <c r="D29" s="9"/>
      <c r="E29" s="11" t="s">
        <v>140</v>
      </c>
      <c r="F29" s="10" t="s">
        <v>141</v>
      </c>
      <c r="G29" s="11">
        <v>146.1</v>
      </c>
      <c r="H29" s="11" t="s">
        <v>142</v>
      </c>
    </row>
    <row r="30">
      <c r="A30" s="2" t="s">
        <v>143</v>
      </c>
      <c r="B30" s="3" t="s">
        <v>144</v>
      </c>
      <c r="C30" s="12" t="s">
        <v>145</v>
      </c>
      <c r="D30" s="5"/>
      <c r="E30" s="5" t="str">
        <f>+15½-109
-14½-110</f>
        <v>#ERROR!</v>
      </c>
      <c r="F30" s="6" t="s">
        <v>146</v>
      </c>
      <c r="G30" s="7">
        <v>161.1</v>
      </c>
      <c r="H30" s="7" t="s">
        <v>147</v>
      </c>
    </row>
    <row r="31">
      <c r="A31" s="2" t="s">
        <v>148</v>
      </c>
      <c r="B31" s="3" t="s">
        <v>149</v>
      </c>
      <c r="C31" s="8" t="s">
        <v>150</v>
      </c>
      <c r="D31" s="9"/>
      <c r="E31" s="9">
        <f>+16-109
-16-109</f>
        <v>-218</v>
      </c>
      <c r="F31" s="10" t="s">
        <v>151</v>
      </c>
      <c r="G31" s="11">
        <v>176.8</v>
      </c>
      <c r="H31" s="11" t="s">
        <v>152</v>
      </c>
    </row>
    <row r="32">
      <c r="A32" s="2" t="s">
        <v>153</v>
      </c>
      <c r="B32" s="3" t="s">
        <v>154</v>
      </c>
      <c r="C32" s="12" t="s">
        <v>155</v>
      </c>
      <c r="D32" s="5"/>
      <c r="E32" s="5" t="str">
        <f>+5½-109
-5-110</f>
        <v>#ERROR!</v>
      </c>
      <c r="F32" s="6" t="s">
        <v>156</v>
      </c>
      <c r="G32" s="7">
        <v>161.8</v>
      </c>
      <c r="H32" s="7" t="s">
        <v>157</v>
      </c>
    </row>
    <row r="33">
      <c r="A33" s="2" t="s">
        <v>158</v>
      </c>
      <c r="B33" s="3" t="s">
        <v>159</v>
      </c>
      <c r="C33" s="13" t="s">
        <v>160</v>
      </c>
      <c r="D33" s="9"/>
      <c r="E33" s="11" t="s">
        <v>161</v>
      </c>
      <c r="F33" s="10" t="s">
        <v>162</v>
      </c>
      <c r="G33" s="11">
        <v>151.5</v>
      </c>
      <c r="H33" s="11" t="s">
        <v>79</v>
      </c>
    </row>
    <row r="34">
      <c r="A34" s="2" t="s">
        <v>163</v>
      </c>
      <c r="B34" s="3" t="s">
        <v>164</v>
      </c>
      <c r="C34" s="12" t="s">
        <v>77</v>
      </c>
      <c r="D34" s="5"/>
      <c r="E34" s="5" t="str">
        <f>+13½-109
-13-110</f>
        <v>#ERROR!</v>
      </c>
      <c r="F34" s="6" t="s">
        <v>165</v>
      </c>
      <c r="G34" s="7">
        <v>147.1</v>
      </c>
      <c r="H34" s="7" t="s">
        <v>166</v>
      </c>
    </row>
    <row r="35">
      <c r="A35" s="2" t="s">
        <v>167</v>
      </c>
      <c r="B35" s="3" t="s">
        <v>168</v>
      </c>
      <c r="C35" s="8" t="s">
        <v>169</v>
      </c>
      <c r="D35" s="9"/>
      <c r="E35" s="9" t="str">
        <f>+5½-109
-5-110</f>
        <v>#ERROR!</v>
      </c>
      <c r="F35" s="10" t="s">
        <v>170</v>
      </c>
      <c r="G35" s="11">
        <v>166.3</v>
      </c>
      <c r="H35" s="11" t="s">
        <v>171</v>
      </c>
    </row>
    <row r="36">
      <c r="A36" s="2" t="s">
        <v>172</v>
      </c>
      <c r="B36" s="3" t="s">
        <v>173</v>
      </c>
      <c r="C36" s="4" t="s">
        <v>174</v>
      </c>
      <c r="D36" s="5"/>
      <c r="E36" s="5" t="str">
        <f>+1½-109
-1-110</f>
        <v>#ERROR!</v>
      </c>
      <c r="F36" s="6" t="s">
        <v>175</v>
      </c>
      <c r="G36" s="7">
        <v>147.7</v>
      </c>
      <c r="H36" s="7" t="s">
        <v>166</v>
      </c>
    </row>
    <row r="37">
      <c r="A37" s="2" t="s">
        <v>176</v>
      </c>
      <c r="B37" s="3" t="s">
        <v>177</v>
      </c>
      <c r="C37" s="13" t="s">
        <v>178</v>
      </c>
      <c r="D37" s="9"/>
      <c r="E37" s="11" t="s">
        <v>179</v>
      </c>
      <c r="F37" s="10" t="s">
        <v>180</v>
      </c>
      <c r="G37" s="11">
        <v>144.7</v>
      </c>
      <c r="H37" s="11" t="s">
        <v>166</v>
      </c>
    </row>
    <row r="38">
      <c r="A38" s="2" t="s">
        <v>181</v>
      </c>
      <c r="B38" s="3" t="s">
        <v>182</v>
      </c>
      <c r="C38" s="12" t="s">
        <v>183</v>
      </c>
      <c r="D38" s="5"/>
      <c r="E38" s="5">
        <f>+3-109
-3-109</f>
        <v>-218</v>
      </c>
      <c r="F38" s="6" t="s">
        <v>184</v>
      </c>
      <c r="G38" s="7">
        <v>140.1</v>
      </c>
      <c r="H38" s="7" t="s">
        <v>185</v>
      </c>
    </row>
    <row r="39">
      <c r="A39" s="2" t="s">
        <v>186</v>
      </c>
      <c r="B39" s="3" t="s">
        <v>187</v>
      </c>
      <c r="C39" s="8" t="s">
        <v>188</v>
      </c>
      <c r="D39" s="9"/>
      <c r="E39" s="9" t="str">
        <f>+5½-109
-5-110</f>
        <v>#ERROR!</v>
      </c>
      <c r="F39" s="10" t="s">
        <v>189</v>
      </c>
      <c r="G39" s="11">
        <v>155.9</v>
      </c>
      <c r="H39" s="11" t="s">
        <v>109</v>
      </c>
    </row>
    <row r="40">
      <c r="A40" s="2" t="s">
        <v>190</v>
      </c>
      <c r="B40" s="3" t="s">
        <v>191</v>
      </c>
      <c r="C40" s="12" t="s">
        <v>192</v>
      </c>
      <c r="D40" s="5"/>
      <c r="E40" s="5" t="str">
        <f>+17-110
-16½-109</f>
        <v>#ERROR!</v>
      </c>
      <c r="F40" s="6" t="s">
        <v>193</v>
      </c>
      <c r="G40" s="7">
        <v>139.9</v>
      </c>
      <c r="H40" s="7" t="s">
        <v>194</v>
      </c>
    </row>
    <row r="41">
      <c r="A41" s="2" t="s">
        <v>195</v>
      </c>
      <c r="B41" s="3" t="s">
        <v>196</v>
      </c>
      <c r="C41" s="13" t="s">
        <v>197</v>
      </c>
      <c r="D41" s="9"/>
      <c r="E41" s="11" t="s">
        <v>198</v>
      </c>
      <c r="F41" s="10" t="s">
        <v>199</v>
      </c>
      <c r="G41" s="11">
        <v>149.0</v>
      </c>
      <c r="H41" s="11" t="s">
        <v>200</v>
      </c>
    </row>
    <row r="42">
      <c r="A42" s="2" t="s">
        <v>201</v>
      </c>
      <c r="B42" s="3" t="s">
        <v>202</v>
      </c>
      <c r="C42" s="4" t="s">
        <v>203</v>
      </c>
      <c r="D42" s="5"/>
      <c r="E42" s="5" t="str">
        <f>+2-110
-1½-109</f>
        <v>#ERROR!</v>
      </c>
      <c r="F42" s="6" t="s">
        <v>204</v>
      </c>
      <c r="G42" s="7">
        <v>144.8</v>
      </c>
      <c r="H42" s="7" t="s">
        <v>205</v>
      </c>
    </row>
    <row r="43">
      <c r="A43" s="2" t="s">
        <v>206</v>
      </c>
      <c r="B43" s="3" t="s">
        <v>207</v>
      </c>
      <c r="C43" s="8" t="s">
        <v>208</v>
      </c>
      <c r="D43" s="9"/>
      <c r="E43" s="9" t="str">
        <f>+3½-109
-3½-109</f>
        <v>#ERROR!</v>
      </c>
      <c r="F43" s="10" t="s">
        <v>209</v>
      </c>
      <c r="G43" s="11">
        <v>148.0</v>
      </c>
      <c r="H43" s="11" t="s">
        <v>21</v>
      </c>
    </row>
    <row r="44">
      <c r="A44" s="2" t="s">
        <v>210</v>
      </c>
      <c r="B44" s="3" t="s">
        <v>211</v>
      </c>
      <c r="C44" s="12" t="s">
        <v>212</v>
      </c>
      <c r="D44" s="5"/>
      <c r="E44" s="5" t="str">
        <f>+11½-109
-11-110</f>
        <v>#ERROR!</v>
      </c>
      <c r="F44" s="6" t="s">
        <v>213</v>
      </c>
      <c r="G44" s="7">
        <v>156.4</v>
      </c>
      <c r="H44" s="7" t="s">
        <v>21</v>
      </c>
    </row>
    <row r="45">
      <c r="A45" s="2" t="s">
        <v>214</v>
      </c>
      <c r="B45" s="3" t="s">
        <v>215</v>
      </c>
      <c r="C45" s="8" t="s">
        <v>216</v>
      </c>
      <c r="D45" s="9"/>
      <c r="E45" s="9" t="str">
        <f>+6½-109
-6½-109</f>
        <v>#ERROR!</v>
      </c>
      <c r="F45" s="10" t="s">
        <v>217</v>
      </c>
      <c r="G45" s="11">
        <v>136.3</v>
      </c>
      <c r="H45" s="11" t="s">
        <v>218</v>
      </c>
    </row>
    <row r="46">
      <c r="A46" s="2" t="s">
        <v>219</v>
      </c>
      <c r="B46" s="3" t="s">
        <v>220</v>
      </c>
      <c r="C46" s="12" t="s">
        <v>221</v>
      </c>
      <c r="D46" s="5"/>
      <c r="E46" s="5" t="str">
        <f>+14½-109
-14½-109</f>
        <v>#ERROR!</v>
      </c>
      <c r="F46" s="6" t="s">
        <v>222</v>
      </c>
      <c r="G46" s="7">
        <v>150.7</v>
      </c>
      <c r="H46" s="7" t="s">
        <v>223</v>
      </c>
    </row>
    <row r="47">
      <c r="A47" s="2" t="s">
        <v>224</v>
      </c>
      <c r="B47" s="3" t="s">
        <v>225</v>
      </c>
      <c r="C47" s="8" t="s">
        <v>226</v>
      </c>
      <c r="D47" s="9"/>
      <c r="E47" s="9">
        <f>+8-109
-8-109</f>
        <v>-218</v>
      </c>
      <c r="F47" s="10" t="s">
        <v>227</v>
      </c>
      <c r="G47" s="11">
        <v>166.2</v>
      </c>
      <c r="H47" s="11" t="s">
        <v>228</v>
      </c>
    </row>
    <row r="48">
      <c r="A48" s="2" t="s">
        <v>229</v>
      </c>
      <c r="B48" s="3" t="s">
        <v>230</v>
      </c>
      <c r="C48" s="12" t="s">
        <v>231</v>
      </c>
      <c r="D48" s="5"/>
      <c r="E48" s="5" t="str">
        <f>+14½-109
-14-110</f>
        <v>#ERROR!</v>
      </c>
      <c r="F48" s="6" t="s">
        <v>232</v>
      </c>
      <c r="G48" s="7">
        <v>153.5</v>
      </c>
      <c r="H48" s="7" t="s">
        <v>109</v>
      </c>
    </row>
    <row r="49">
      <c r="A49" s="2" t="s">
        <v>233</v>
      </c>
      <c r="B49" s="3" t="s">
        <v>234</v>
      </c>
      <c r="C49" s="8" t="s">
        <v>235</v>
      </c>
      <c r="D49" s="9"/>
      <c r="E49" s="9" t="str">
        <f>+30-109
-29½-110</f>
        <v>#ERROR!</v>
      </c>
      <c r="F49" s="10" t="s">
        <v>236</v>
      </c>
      <c r="G49" s="11">
        <v>153.3</v>
      </c>
      <c r="H49" s="11" t="s">
        <v>223</v>
      </c>
    </row>
    <row r="50">
      <c r="A50" s="2" t="s">
        <v>237</v>
      </c>
      <c r="B50" s="3" t="s">
        <v>238</v>
      </c>
      <c r="C50" s="4" t="s">
        <v>239</v>
      </c>
      <c r="D50" s="5"/>
      <c r="E50" s="7" t="s">
        <v>240</v>
      </c>
      <c r="F50" s="6" t="s">
        <v>241</v>
      </c>
      <c r="G50" s="7">
        <v>153.8</v>
      </c>
      <c r="H50" s="7" t="s">
        <v>56</v>
      </c>
    </row>
    <row r="51">
      <c r="A51" s="2" t="s">
        <v>242</v>
      </c>
      <c r="B51" s="3" t="s">
        <v>243</v>
      </c>
      <c r="C51" s="8" t="s">
        <v>244</v>
      </c>
      <c r="D51" s="9"/>
      <c r="E51" s="9" t="str">
        <f>+8½-109
-8½-109</f>
        <v>#ERROR!</v>
      </c>
      <c r="F51" s="10" t="s">
        <v>245</v>
      </c>
      <c r="G51" s="11">
        <v>147.0</v>
      </c>
      <c r="H51" s="11" t="s">
        <v>94</v>
      </c>
    </row>
    <row r="52">
      <c r="A52" s="2" t="s">
        <v>246</v>
      </c>
      <c r="B52" s="3" t="s">
        <v>247</v>
      </c>
      <c r="C52" s="12" t="s">
        <v>248</v>
      </c>
      <c r="D52" s="5"/>
      <c r="E52" s="5" t="str">
        <f>+3½-109
-3½-109</f>
        <v>#ERROR!</v>
      </c>
      <c r="F52" s="6" t="s">
        <v>249</v>
      </c>
      <c r="G52" s="7">
        <v>143.2</v>
      </c>
      <c r="H52" s="7" t="s">
        <v>250</v>
      </c>
    </row>
    <row r="53">
      <c r="A53" s="2" t="s">
        <v>251</v>
      </c>
      <c r="B53" s="3" t="s">
        <v>252</v>
      </c>
      <c r="C53" s="13" t="s">
        <v>253</v>
      </c>
      <c r="D53" s="9"/>
      <c r="E53" s="9">
        <f>+0-109
+0-109</f>
        <v>-218</v>
      </c>
      <c r="F53" s="10" t="s">
        <v>254</v>
      </c>
      <c r="G53" s="11">
        <v>146.5</v>
      </c>
      <c r="H53" s="11" t="s">
        <v>255</v>
      </c>
    </row>
    <row r="54">
      <c r="A54" s="2" t="s">
        <v>256</v>
      </c>
      <c r="B54" s="3" t="s">
        <v>257</v>
      </c>
      <c r="C54" s="12" t="s">
        <v>258</v>
      </c>
      <c r="D54" s="5"/>
      <c r="E54" s="5" t="str">
        <f>+18½-110
-18-109</f>
        <v>#ERROR!</v>
      </c>
      <c r="F54" s="6" t="s">
        <v>259</v>
      </c>
      <c r="G54" s="7">
        <v>139.8</v>
      </c>
      <c r="H54" s="7" t="s">
        <v>260</v>
      </c>
    </row>
    <row r="55">
      <c r="A55" s="2" t="s">
        <v>261</v>
      </c>
      <c r="B55" s="3" t="s">
        <v>262</v>
      </c>
      <c r="C55" s="8" t="s">
        <v>263</v>
      </c>
      <c r="D55" s="9"/>
      <c r="E55" s="9" t="str">
        <f>+5½-109
-5-110</f>
        <v>#ERROR!</v>
      </c>
      <c r="F55" s="10" t="s">
        <v>264</v>
      </c>
      <c r="G55" s="11">
        <v>154.0</v>
      </c>
      <c r="H55" s="11" t="s">
        <v>265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</hyperlinks>
  <drawing r:id="rId109"/>
</worksheet>
</file>