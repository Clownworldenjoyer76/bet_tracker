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<sst xmlns="http://schemas.openxmlformats.org/spreadsheetml/2006/main" count="54" uniqueCount="54">
  <si>
    <t>Time</t>
  </si>
  <si>
    <t>Teams</t>
  </si>
  <si>
    <t>Goalies</t>
  </si>
  <si>
    <t>Win</t>
  </si>
  <si>
    <t>Best
ML</t>
  </si>
  <si>
    <t>Best
Spread</t>
  </si>
  <si>
    <t>Goals</t>
  </si>
  <si>
    <t>Total
Goals</t>
  </si>
  <si>
    <t>Best
O/U</t>
  </si>
  <si>
    <t>Bet
Value</t>
  </si>
  <si>
    <t>More Details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</si>
  <si>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</si>
  <si>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Detroit Red Wings</t>
    </r>
    <r>
      <rPr>
        <rFont val="&quot;IBM Plex Sans&quot;, sans-serif"/>
        <sz val="12.0"/>
      </rPr>
      <t xml:space="preserve"> (30-16-4)
</t>
    </r>
    <r>
      <rPr>
        <rFont val="&quot;IBM Plex Sans&quot;, sans-serif"/>
        <color rgb="FF1155CC"/>
        <sz val="12.0"/>
        <u/>
      </rPr>
      <t>Toronto Maple Leafs</t>
    </r>
    <r>
      <rPr>
        <rFont val="&quot;IBM Plex Sans&quot;, sans-serif"/>
        <sz val="12.0"/>
      </rPr>
      <t xml:space="preserve"> (24-17-8)</t>
    </r>
  </si>
  <si>
    <t>John Gibson
Joseph Woll</t>
  </si>
  <si>
    <t>46.5%
53.5%</t>
  </si>
  <si>
    <t>2.88
3.27</t>
  </si>
  <si>
    <t>o6-120
u6½-120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</si>
  <si>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09:07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</si>
  <si>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Anaheim Ducks</t>
    </r>
    <r>
      <rPr>
        <rFont val="&quot;IBM Plex Sans&quot;, sans-serif"/>
        <sz val="12.0"/>
      </rPr>
      <t xml:space="preserve"> (25-21-3)
</t>
    </r>
    <r>
      <rPr>
        <rFont val="&quot;IBM Plex Sans&quot;, sans-serif"/>
        <color rgb="FF1155CC"/>
        <sz val="12.0"/>
        <u/>
      </rPr>
      <t>Colorado Avalanche</t>
    </r>
    <r>
      <rPr>
        <rFont val="&quot;IBM Plex Sans&quot;, sans-serif"/>
        <sz val="12.0"/>
      </rPr>
      <t xml:space="preserve"> (34-5-8)</t>
    </r>
  </si>
  <si>
    <t>Lukáš Dostál
Scott Wedgewood</t>
  </si>
  <si>
    <t>28.6%
71.4%</t>
  </si>
  <si>
    <t>2.66
4.10</t>
  </si>
  <si>
    <t>o6½-130
u7-135</t>
  </si>
  <si>
    <t>Volatility Bet Value Active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</si>
  <si>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09:07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</si>
  <si>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Philadelphia Flyers</t>
    </r>
    <r>
      <rPr>
        <rFont val="&quot;IBM Plex Sans&quot;, sans-serif"/>
        <sz val="12.0"/>
      </rPr>
      <t xml:space="preserve"> (23-17-8)
</t>
    </r>
    <r>
      <rPr>
        <rFont val="&quot;IBM Plex Sans&quot;, sans-serif"/>
        <color rgb="FF1155CC"/>
        <sz val="12.0"/>
        <u/>
      </rPr>
      <t>Utah Mammoth</t>
    </r>
    <r>
      <rPr>
        <rFont val="&quot;IBM Plex Sans&quot;, sans-serif"/>
        <sz val="12.0"/>
      </rPr>
      <t xml:space="preserve"> (25-20-4)</t>
    </r>
  </si>
  <si>
    <t>Daniel Vladař
Karel Vejmelka</t>
  </si>
  <si>
    <t>37.9%
62.1%</t>
  </si>
  <si>
    <t>2.29
3.39</t>
  </si>
  <si>
    <t>o6-110
u6-110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</si>
  <si>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09:37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</si>
  <si>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Pittsburgh Penguins</t>
    </r>
    <r>
      <rPr>
        <rFont val="&quot;IBM Plex Sans&quot;, sans-serif"/>
        <sz val="12.0"/>
      </rPr>
      <t xml:space="preserve"> (23-14-11)
</t>
    </r>
    <r>
      <rPr>
        <rFont val="&quot;IBM Plex Sans&quot;, sans-serif"/>
        <color rgb="FF1155CC"/>
        <sz val="12.0"/>
        <u/>
      </rPr>
      <t>Calgary Flames</t>
    </r>
    <r>
      <rPr>
        <rFont val="&quot;IBM Plex Sans&quot;, sans-serif"/>
        <sz val="12.0"/>
      </rPr>
      <t xml:space="preserve"> (21-23-5)</t>
    </r>
  </si>
  <si>
    <t>Arturs Silovs
Dustin Wolf</t>
  </si>
  <si>
    <t>47.6%
52.4%</t>
  </si>
  <si>
    <t>-113
+104</t>
  </si>
  <si>
    <t>-1½+210
+1½-245</t>
  </si>
  <si>
    <t>2.94
3.19</t>
  </si>
  <si>
    <t>o6-102
u6-115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</si>
  <si>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09:37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</si>
  <si>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York Islanders</t>
    </r>
    <r>
      <rPr>
        <rFont val="&quot;IBM Plex Sans&quot;, sans-serif"/>
        <sz val="12.0"/>
      </rPr>
      <t xml:space="preserve"> (27-17-5)
</t>
    </r>
    <r>
      <rPr>
        <rFont val="&quot;IBM Plex Sans&quot;, sans-serif"/>
        <color rgb="FF1155CC"/>
        <sz val="12.0"/>
        <u/>
      </rPr>
      <t>Seattle Kraken</t>
    </r>
    <r>
      <rPr>
        <rFont val="&quot;IBM Plex Sans&quot;, sans-serif"/>
        <sz val="12.0"/>
      </rPr>
      <t xml:space="preserve"> (21-18-9)</t>
    </r>
  </si>
  <si>
    <t>Ilya Sorokin
Joey Daccord</t>
  </si>
  <si>
    <t>54.1%
45.9%</t>
  </si>
  <si>
    <t>-107
-103</t>
  </si>
  <si>
    <t>-1½+230
+1½-260</t>
  </si>
  <si>
    <t>3.05
2.61</t>
  </si>
  <si>
    <t>o5½-110
u5½+100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</si>
  <si>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10:07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</si>
  <si>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Washington Capitals</t>
    </r>
    <r>
      <rPr>
        <rFont val="&quot;IBM Plex Sans&quot;, sans-serif"/>
        <sz val="12.0"/>
      </rPr>
      <t xml:space="preserve"> (24-20-6)
</t>
    </r>
    <r>
      <rPr>
        <rFont val="&quot;IBM Plex Sans&quot;, sans-serif"/>
        <color rgb="FF1155CC"/>
        <sz val="12.0"/>
        <u/>
      </rPr>
      <t>Vancouver Canucks</t>
    </r>
    <r>
      <rPr>
        <rFont val="&quot;IBM Plex Sans&quot;, sans-serif"/>
        <sz val="12.0"/>
      </rPr>
      <t xml:space="preserve"> (16-28-5)</t>
    </r>
  </si>
  <si>
    <t>Logan Thompson
Thatcher Demko</t>
  </si>
  <si>
    <t>60.6%
39.4%</t>
  </si>
  <si>
    <t>-165
+150</t>
  </si>
  <si>
    <t>-1½+155
+1½-170</t>
  </si>
  <si>
    <t>3.53
2.48</t>
  </si>
  <si>
    <t>o6-120
u6+110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</si>
</sst>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rgb="FF282727"/>
      <name val="&quot;IBM Plex Sans&quot;"/>
    </font>
    <font>
      <color theme="1"/>
      <name val="Inherit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5A5A5A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u/>
      <sz val="12.0"/>
      <color rgb="FF0000FF"/>
      <name val="&quot;IBM Plex Mono&quot;"/>
    </font>
    <font>
      <sz val="12.0"/>
      <color rgb="FF74B06D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4">
    <border/>
    <border>
      <bottom style="thin">
        <color rgb="FFDDDDDD"/>
      </bottom>
    </border>
    <border>
      <bottom style="dotted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Alignment="1" applyBorder="1" applyFont="1">
      <alignment horizontal="left" readingOrder="0" vertical="bottom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2" fontId="5" numFmtId="0" xfId="0" applyAlignment="1" applyFont="1">
      <alignment horizontal="center" readingOrder="0"/>
    </xf>
    <xf borderId="3" fillId="2" fontId="6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  <xf borderId="3" fillId="2" fontId="7" numFmtId="0" xfId="0" applyAlignment="1" applyBorder="1" applyFont="1">
      <alignment horizontal="center" readingOrder="0"/>
    </xf>
    <xf borderId="0" fillId="2" fontId="7" numFmtId="0" xfId="0" applyAlignment="1" applyFont="1">
      <alignment horizontal="center" readingOrder="0"/>
    </xf>
    <xf borderId="3" fillId="2" fontId="7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3" fontId="5" numFmtId="0" xfId="0" applyAlignment="1" applyFill="1" applyFont="1">
      <alignment horizontal="center" readingOrder="0"/>
    </xf>
    <xf borderId="3" fillId="3" fontId="6" numFmtId="0" xfId="0" applyAlignment="1" applyBorder="1" applyFont="1">
      <alignment horizontal="center" readingOrder="0"/>
    </xf>
    <xf borderId="0" fillId="3" fontId="7" numFmtId="0" xfId="0" applyAlignment="1" applyFont="1">
      <alignment horizontal="center"/>
    </xf>
    <xf borderId="3" fillId="3" fontId="7" numFmtId="0" xfId="0" applyAlignment="1" applyBorder="1" applyFont="1">
      <alignment horizontal="center" readingOrder="0"/>
    </xf>
    <xf borderId="0" fillId="3" fontId="7" numFmtId="0" xfId="0" applyAlignment="1" applyFont="1">
      <alignment horizontal="center" readingOrder="0"/>
    </xf>
    <xf borderId="3" fillId="3" fontId="7" numFmtId="0" xfId="0" applyAlignment="1" applyBorder="1" applyFont="1">
      <alignment horizontal="center"/>
    </xf>
    <xf borderId="3" fillId="2" fontId="9" numFmtId="0" xfId="0" applyAlignment="1" applyBorder="1" applyFont="1">
      <alignment horizontal="center" readingOrder="0"/>
    </xf>
    <xf borderId="3" fillId="3" fontId="9" numFmtId="0" xfId="0" applyAlignment="1" applyBorder="1" applyFont="1">
      <alignment horizontal="center" readingOrder="0"/>
    </xf>
    <xf borderId="0" fillId="2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ratings.com/teams/nhl-hockey-ratings/205-pittsburgh-penguins" TargetMode="External"/><Relationship Id="rId10" Type="http://schemas.openxmlformats.org/officeDocument/2006/relationships/hyperlink" Target="https://www.dratings.com/predictor/nhl-hockey-predictions/de46031f-baba-5467-b8b9-eb87cc5f0a25" TargetMode="External"/><Relationship Id="rId13" Type="http://schemas.openxmlformats.org/officeDocument/2006/relationships/hyperlink" Target="https://www.dratings.com/predictor/nhl-hockey-predictions/74468e93-4ceb-505e-89e4-7976d4540477" TargetMode="External"/><Relationship Id="rId12" Type="http://schemas.openxmlformats.org/officeDocument/2006/relationships/hyperlink" Target="https://www.dratings.com/predictor/nhl-hockey-predictions/de46031f-baba-5467-b8b9-eb87cc5f0a25" TargetMode="External"/><Relationship Id="rId1" Type="http://schemas.openxmlformats.org/officeDocument/2006/relationships/hyperlink" Target="https://www.dratings.com/predictor/nhl-hockey-predictions/e4ca0c2a-c274-5f2d-88b4-b2a3e568d687" TargetMode="External"/><Relationship Id="rId2" Type="http://schemas.openxmlformats.org/officeDocument/2006/relationships/hyperlink" Target="https://www.dratings.com/teams/nhl-hockey-ratings/218-detroit-red-wings" TargetMode="External"/><Relationship Id="rId3" Type="http://schemas.openxmlformats.org/officeDocument/2006/relationships/hyperlink" Target="https://www.dratings.com/predictor/nhl-hockey-predictions/e4ca0c2a-c274-5f2d-88b4-b2a3e568d687" TargetMode="External"/><Relationship Id="rId4" Type="http://schemas.openxmlformats.org/officeDocument/2006/relationships/hyperlink" Target="https://www.dratings.com/predictor/nhl-hockey-predictions/aff17727-bc25-52e5-9308-3fe996eb9566" TargetMode="External"/><Relationship Id="rId9" Type="http://schemas.openxmlformats.org/officeDocument/2006/relationships/hyperlink" Target="https://www.dratings.com/predictor/nhl-hockey-predictions/f0c9915d-8c62-5b36-a049-9d37dfc33191" TargetMode="External"/><Relationship Id="rId15" Type="http://schemas.openxmlformats.org/officeDocument/2006/relationships/hyperlink" Target="https://www.dratings.com/predictor/nhl-hockey-predictions/74468e93-4ceb-505e-89e4-7976d4540477" TargetMode="External"/><Relationship Id="rId14" Type="http://schemas.openxmlformats.org/officeDocument/2006/relationships/hyperlink" Target="https://www.dratings.com/teams/nhl-hockey-ratings/202-new-york-islanders" TargetMode="External"/><Relationship Id="rId17" Type="http://schemas.openxmlformats.org/officeDocument/2006/relationships/hyperlink" Target="https://www.dratings.com/teams/nhl-hockey-ratings/214-washington-capitals" TargetMode="External"/><Relationship Id="rId16" Type="http://schemas.openxmlformats.org/officeDocument/2006/relationships/hyperlink" Target="https://www.dratings.com/predictor/nhl-hockey-predictions/33cfcd52-4021-5eb2-bbed-4733fa59eec8" TargetMode="External"/><Relationship Id="rId5" Type="http://schemas.openxmlformats.org/officeDocument/2006/relationships/hyperlink" Target="https://www.dratings.com/teams/nhl-hockey-ratings/226-anaheim-ducks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www.dratings.com/predictor/nhl-hockey-predictions/aff17727-bc25-52e5-9308-3fe996eb9566" TargetMode="External"/><Relationship Id="rId18" Type="http://schemas.openxmlformats.org/officeDocument/2006/relationships/hyperlink" Target="https://www.dratings.com/predictor/nhl-hockey-predictions/33cfcd52-4021-5eb2-bbed-4733fa59eec8" TargetMode="External"/><Relationship Id="rId7" Type="http://schemas.openxmlformats.org/officeDocument/2006/relationships/hyperlink" Target="https://www.dratings.com/predictor/nhl-hockey-predictions/f0c9915d-8c62-5b36-a049-9d37dfc33191" TargetMode="External"/><Relationship Id="rId8" Type="http://schemas.openxmlformats.org/officeDocument/2006/relationships/hyperlink" Target="https://www.dratings.com/teams/nhl-hockey-ratings/204-philadelphia-fly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</row>
    <row r="2">
      <c r="A2" s="3" t="s">
        <v>11</v>
      </c>
      <c r="B2" s="4" t="s">
        <v>12</v>
      </c>
      <c r="C2" s="5" t="s">
        <v>13</v>
      </c>
      <c r="D2" s="6" t="s">
        <v>14</v>
      </c>
      <c r="E2" s="7">
        <f>+108
-116</f>
        <v>-8</v>
      </c>
      <c r="F2" s="7" t="str">
        <f>+1½-225
-1½+200</f>
        <v>#ERROR!</v>
      </c>
      <c r="G2" s="8" t="s">
        <v>15</v>
      </c>
      <c r="H2" s="9">
        <v>6.15</v>
      </c>
      <c r="I2" s="9" t="s">
        <v>16</v>
      </c>
      <c r="J2" s="10"/>
      <c r="K2" s="11"/>
    </row>
    <row r="3">
      <c r="A3" s="3" t="s">
        <v>17</v>
      </c>
      <c r="B3" s="4" t="s">
        <v>18</v>
      </c>
      <c r="C3" s="12" t="s">
        <v>19</v>
      </c>
      <c r="D3" s="13" t="s">
        <v>20</v>
      </c>
      <c r="E3" s="14">
        <f>+260
-291</f>
        <v>-31</v>
      </c>
      <c r="F3" s="14" t="str">
        <f>+1½+105
-1½-118</f>
        <v>#ERROR!</v>
      </c>
      <c r="G3" s="15" t="s">
        <v>21</v>
      </c>
      <c r="H3" s="16">
        <v>6.76</v>
      </c>
      <c r="I3" s="16" t="s">
        <v>22</v>
      </c>
      <c r="J3" s="15" t="s">
        <v>23</v>
      </c>
      <c r="K3" s="11"/>
    </row>
    <row r="4">
      <c r="A4" s="3" t="s">
        <v>24</v>
      </c>
      <c r="B4" s="4" t="s">
        <v>25</v>
      </c>
      <c r="C4" s="5" t="s">
        <v>26</v>
      </c>
      <c r="D4" s="6" t="s">
        <v>27</v>
      </c>
      <c r="E4" s="7">
        <f>+155
-170</f>
        <v>-15</v>
      </c>
      <c r="F4" s="7" t="str">
        <f>+1½-168
-1½+150</f>
        <v>#ERROR!</v>
      </c>
      <c r="G4" s="8" t="s">
        <v>28</v>
      </c>
      <c r="H4" s="9">
        <v>5.68</v>
      </c>
      <c r="I4" s="9" t="s">
        <v>29</v>
      </c>
      <c r="J4" s="10"/>
      <c r="K4" s="11"/>
    </row>
    <row r="5">
      <c r="A5" s="3" t="s">
        <v>30</v>
      </c>
      <c r="B5" s="4" t="s">
        <v>31</v>
      </c>
      <c r="C5" s="12" t="s">
        <v>32</v>
      </c>
      <c r="D5" s="13" t="s">
        <v>33</v>
      </c>
      <c r="E5" s="16" t="s">
        <v>34</v>
      </c>
      <c r="F5" s="16" t="s">
        <v>35</v>
      </c>
      <c r="G5" s="15" t="s">
        <v>36</v>
      </c>
      <c r="H5" s="16">
        <v>6.13</v>
      </c>
      <c r="I5" s="16" t="s">
        <v>37</v>
      </c>
      <c r="J5" s="17"/>
      <c r="K5" s="11"/>
    </row>
    <row r="6">
      <c r="A6" s="3" t="s">
        <v>38</v>
      </c>
      <c r="B6" s="4" t="s">
        <v>39</v>
      </c>
      <c r="C6" s="5" t="s">
        <v>40</v>
      </c>
      <c r="D6" s="18" t="s">
        <v>41</v>
      </c>
      <c r="E6" s="9" t="s">
        <v>42</v>
      </c>
      <c r="F6" s="9" t="s">
        <v>43</v>
      </c>
      <c r="G6" s="8" t="s">
        <v>44</v>
      </c>
      <c r="H6" s="9">
        <v>5.66</v>
      </c>
      <c r="I6" s="9" t="s">
        <v>45</v>
      </c>
      <c r="J6" s="10"/>
      <c r="K6" s="11"/>
    </row>
    <row r="7">
      <c r="A7" s="3" t="s">
        <v>46</v>
      </c>
      <c r="B7" s="4" t="s">
        <v>47</v>
      </c>
      <c r="C7" s="12" t="s">
        <v>48</v>
      </c>
      <c r="D7" s="19" t="s">
        <v>49</v>
      </c>
      <c r="E7" s="16" t="s">
        <v>50</v>
      </c>
      <c r="F7" s="16" t="s">
        <v>51</v>
      </c>
      <c r="G7" s="15" t="s">
        <v>52</v>
      </c>
      <c r="H7" s="16">
        <v>6.01</v>
      </c>
      <c r="I7" s="16" t="s">
        <v>53</v>
      </c>
      <c r="J7" s="17"/>
      <c r="K7" s="11"/>
    </row>
    <row r="8">
      <c r="A8" s="20"/>
    </row>
  </sheetData>
  <hyperlinks>
    <hyperlink r:id="rId1" ref="A2"/>
    <hyperlink r:id="rId2" ref="B2"/>
    <hyperlink r:id="rId3" ref="K2"/>
    <hyperlink r:id="rId4" ref="A3"/>
    <hyperlink r:id="rId5" ref="B3"/>
    <hyperlink r:id="rId6" ref="K3"/>
    <hyperlink r:id="rId7" ref="A4"/>
    <hyperlink r:id="rId8" ref="B4"/>
    <hyperlink r:id="rId9" ref="K4"/>
    <hyperlink r:id="rId10" ref="A5"/>
    <hyperlink r:id="rId11" ref="B5"/>
    <hyperlink r:id="rId12" ref="K5"/>
    <hyperlink r:id="rId13" ref="A6"/>
    <hyperlink r:id="rId14" ref="B6"/>
    <hyperlink r:id="rId15" ref="K6"/>
    <hyperlink r:id="rId16" ref="A7"/>
    <hyperlink r:id="rId17" ref="B7"/>
    <hyperlink r:id="rId18" ref="K7"/>
  </hyperlinks>
  <drawing r:id="rId19"/>
</worksheet>
</file>